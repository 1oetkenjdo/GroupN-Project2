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d.docs.live.net/7cbf3353e9af97e5/Desktop/SP2026/CODES/PROJECT 2/"/>
    </mc:Choice>
  </mc:AlternateContent>
  <xr:revisionPtr revIDLastSave="50" documentId="8_{2D0532B1-89FC-4489-A866-D32F74691416}" xr6:coauthVersionLast="47" xr6:coauthVersionMax="47" xr10:uidLastSave="{5A5E58A5-FF30-446F-8B1E-A3E66F5C4829}"/>
  <bookViews>
    <workbookView xWindow="-38520" yWindow="-120" windowWidth="38640" windowHeight="16440" xr2:uid="{00000000-000D-0000-FFFF-FFFF00000000}"/>
  </bookViews>
  <sheets>
    <sheet name="Project schedule" sheetId="11" r:id="rId1"/>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 i="11" l="1"/>
  <c r="E28" i="11" s="1"/>
  <c r="F28" i="11" s="1"/>
  <c r="E29" i="11" s="1"/>
  <c r="F29" i="11" s="1"/>
  <c r="E30" i="11" s="1"/>
  <c r="F30" i="11" s="1"/>
  <c r="E41" i="11"/>
  <c r="F41" i="11"/>
  <c r="E42" i="11"/>
  <c r="F42" i="11"/>
  <c r="E43" i="11"/>
  <c r="F43" i="11"/>
  <c r="F33" i="11"/>
  <c r="F39" i="11" s="1"/>
  <c r="H44" i="11"/>
  <c r="H38" i="11"/>
  <c r="H7" i="11"/>
  <c r="E45" i="11" l="1"/>
  <c r="F9" i="11"/>
  <c r="I5" i="11"/>
  <c r="H32" i="11"/>
  <c r="H26" i="11"/>
  <c r="H21" i="11"/>
  <c r="H14" i="11"/>
  <c r="H8" i="11"/>
  <c r="F45" i="11" l="1"/>
  <c r="E46" i="11" s="1"/>
  <c r="F46" i="11" s="1"/>
  <c r="H22" i="11"/>
  <c r="H23" i="11"/>
  <c r="H9" i="11"/>
  <c r="I6" i="11"/>
  <c r="H45" i="11" l="1"/>
  <c r="E34" i="11"/>
  <c r="E40" i="11" s="1"/>
  <c r="H33" i="11"/>
  <c r="H10" i="11"/>
  <c r="H24" i="11"/>
  <c r="H13" i="11"/>
  <c r="J5" i="11"/>
  <c r="K5" i="11" s="1"/>
  <c r="L5" i="11" s="1"/>
  <c r="M5" i="11" s="1"/>
  <c r="N5" i="11" s="1"/>
  <c r="O5" i="11" s="1"/>
  <c r="P5" i="11" s="1"/>
  <c r="I4" i="11"/>
  <c r="F34" i="11" l="1"/>
  <c r="F40" i="11" s="1"/>
  <c r="H15" i="11"/>
  <c r="H25" i="11"/>
  <c r="H16" i="11"/>
  <c r="H11" i="11"/>
  <c r="H12" i="11"/>
  <c r="P4" i="11"/>
  <c r="Q5" i="11"/>
  <c r="R5" i="11" s="1"/>
  <c r="S5" i="11" s="1"/>
  <c r="T5" i="11" s="1"/>
  <c r="U5" i="11" s="1"/>
  <c r="V5" i="11" s="1"/>
  <c r="W5" i="11" s="1"/>
  <c r="J6" i="11"/>
  <c r="H39" i="11" l="1"/>
  <c r="H31" i="11"/>
  <c r="H20" i="11"/>
  <c r="H19" i="11"/>
  <c r="H18" i="11"/>
  <c r="W4" i="11"/>
  <c r="X5" i="11"/>
  <c r="Y5" i="11" s="1"/>
  <c r="Z5" i="11" s="1"/>
  <c r="AA5" i="11" s="1"/>
  <c r="AB5" i="11" s="1"/>
  <c r="AC5" i="11" s="1"/>
  <c r="AD5" i="11" s="1"/>
  <c r="K6" i="11"/>
  <c r="H27" i="11" l="1"/>
  <c r="H30" i="11"/>
  <c r="AE5" i="11"/>
  <c r="AF5" i="11" s="1"/>
  <c r="AG5" i="11" s="1"/>
  <c r="AH5" i="11" s="1"/>
  <c r="AI5" i="11" s="1"/>
  <c r="AJ5" i="11" s="1"/>
  <c r="AD4" i="11"/>
  <c r="L6" i="11"/>
  <c r="H28" i="11" l="1"/>
  <c r="H29" i="11"/>
  <c r="M6" i="11"/>
  <c r="N6" i="11" l="1"/>
  <c r="O6" i="11" l="1"/>
  <c r="P6" i="11" l="1"/>
  <c r="Q6" i="11"/>
  <c r="R6" i="11" l="1"/>
  <c r="S6" i="11" l="1"/>
  <c r="T6" i="11" l="1"/>
  <c r="U6" i="11" l="1"/>
  <c r="V6" i="11" l="1"/>
  <c r="W6" i="11" l="1"/>
  <c r="X6" i="11" l="1"/>
  <c r="Y6" i="11" l="1"/>
  <c r="Z6" i="11" l="1"/>
  <c r="AA6" i="11" l="1"/>
  <c r="AB6" i="11" l="1"/>
  <c r="AC6" i="11" l="1"/>
  <c r="AD6" i="11" l="1"/>
  <c r="AE6" i="11" l="1"/>
  <c r="AF6" i="11" l="1"/>
  <c r="AG6" i="11" l="1"/>
  <c r="AH6" i="11" l="1"/>
  <c r="AI6" i="11" l="1"/>
  <c r="AJ6" i="11" l="1"/>
</calcChain>
</file>

<file path=xl/sharedStrings.xml><?xml version="1.0" encoding="utf-8"?>
<sst xmlns="http://schemas.openxmlformats.org/spreadsheetml/2006/main" count="85" uniqueCount="49">
  <si>
    <t>CIVE 202 Project #2</t>
  </si>
  <si>
    <t>Project start:</t>
  </si>
  <si>
    <t>Display week:</t>
  </si>
  <si>
    <t>TASK</t>
  </si>
  <si>
    <t>ASSIGNED TO</t>
  </si>
  <si>
    <t>PROGRESS</t>
  </si>
  <si>
    <t>START</t>
  </si>
  <si>
    <t>END</t>
  </si>
  <si>
    <t xml:space="preserve">Do not delete this row. This row is hidden to preserve a formula that is used to highlight the current day within the project schedule. </t>
  </si>
  <si>
    <t>Github Repository</t>
  </si>
  <si>
    <t>Scope of Work</t>
  </si>
  <si>
    <t>Gantt Chart</t>
  </si>
  <si>
    <t>Mix Scenarios Research</t>
  </si>
  <si>
    <t>Python Code</t>
  </si>
  <si>
    <t>Annotated Code Document</t>
  </si>
  <si>
    <t>Written Report</t>
  </si>
  <si>
    <t>Jacob Oetken, Abbas Bashir, Anicet Atikpohou, Michael Albracht</t>
  </si>
  <si>
    <t>Identify Tasks</t>
  </si>
  <si>
    <t>Create Gantt Chart</t>
  </si>
  <si>
    <t>Turn in Gantt Chart</t>
  </si>
  <si>
    <t>ALL</t>
  </si>
  <si>
    <t>Create Github</t>
  </si>
  <si>
    <t>Create README Document</t>
  </si>
  <si>
    <t>Submit</t>
  </si>
  <si>
    <t>Review</t>
  </si>
  <si>
    <t>Create SOW</t>
  </si>
  <si>
    <t>Submit SOW</t>
  </si>
  <si>
    <t>LAB 1 Material</t>
  </si>
  <si>
    <t>LAB 2 Material</t>
  </si>
  <si>
    <t>LAB 3 Material</t>
  </si>
  <si>
    <t>Combine/Polish</t>
  </si>
  <si>
    <t>Review and Submit</t>
  </si>
  <si>
    <t>Analyze Outputs</t>
  </si>
  <si>
    <t>Research Mix 1</t>
  </si>
  <si>
    <t>Research Mix 3</t>
  </si>
  <si>
    <t>Research Mix 2</t>
  </si>
  <si>
    <t>Research Mix 4</t>
  </si>
  <si>
    <t>Discuss/Apply To Report</t>
  </si>
  <si>
    <t>Create Document to Standards</t>
  </si>
  <si>
    <t>Combine information/Files</t>
  </si>
  <si>
    <t>Upload All Files to Github</t>
  </si>
  <si>
    <t>Task 1-2</t>
  </si>
  <si>
    <t>Task 2-4</t>
  </si>
  <si>
    <t>Abbas/Jacob</t>
  </si>
  <si>
    <t>Anicet/Michael</t>
  </si>
  <si>
    <t>Jacob</t>
  </si>
  <si>
    <t>Abbas</t>
  </si>
  <si>
    <t>Anicet</t>
  </si>
  <si>
    <t>Michael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</si>
</sst>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m/d/yy;@"/>
    <numFmt numFmtId="165" formatCode="ddd\,\ m/d/yyyy"/>
    <numFmt numFmtId="166" formatCode="mmm\ d\,\ yyyy"/>
    <numFmt numFmtId="167" formatCode="d"/>
  </numFmts>
  <fonts count="20"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sz val="11"/>
      <color theme="0"/>
      <name val="Arial"/>
      <family val="2"/>
      <scheme val="minor"/>
    </font>
    <font>
      <sz val="10"/>
      <name val="Arial"/>
      <family val="2"/>
    </font>
    <font>
      <b/>
      <sz val="20"/>
      <color theme="4" tint="-0.249977111117893"/>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26"/>
      <color theme="9"/>
      <name val="Arial Black"/>
      <family val="2"/>
      <scheme val="maj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1">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7"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84">
    <xf numFmtId="0" fontId="0" fillId="0" borderId="0" xfId="0"/>
    <xf numFmtId="0" fontId="1" fillId="0" borderId="0" xfId="0" applyFont="1"/>
    <xf numFmtId="0" fontId="0" fillId="0" borderId="0" xfId="0" applyAlignment="1">
      <alignment horizontal="center"/>
    </xf>
    <xf numFmtId="0" fontId="3" fillId="0" borderId="1" xfId="0" applyFont="1" applyBorder="1" applyAlignment="1">
      <alignment horizontal="center" vertical="center"/>
    </xf>
    <xf numFmtId="0" fontId="7" fillId="0" borderId="0" xfId="3"/>
    <xf numFmtId="0" fontId="7" fillId="0" borderId="0" xfId="3" applyAlignment="1">
      <alignment wrapText="1"/>
    </xf>
    <xf numFmtId="0" fontId="3" fillId="0" borderId="0" xfId="0" applyFont="1" applyAlignment="1">
      <alignment horizontal="center" vertical="center"/>
    </xf>
    <xf numFmtId="0" fontId="9" fillId="0" borderId="0" xfId="0" applyFont="1"/>
    <xf numFmtId="0" fontId="8" fillId="0" borderId="0" xfId="0" applyFont="1"/>
    <xf numFmtId="0" fontId="8" fillId="0" borderId="0" xfId="0" applyFont="1" applyAlignment="1">
      <alignment horizontal="center"/>
    </xf>
    <xf numFmtId="0" fontId="8" fillId="0" borderId="0" xfId="0" applyFont="1" applyAlignment="1">
      <alignment horizontal="center" vertical="center"/>
    </xf>
    <xf numFmtId="0" fontId="10" fillId="0" borderId="0" xfId="0" applyFont="1"/>
    <xf numFmtId="0" fontId="4" fillId="0" borderId="0" xfId="0" applyFont="1"/>
    <xf numFmtId="0" fontId="1" fillId="0" borderId="0" xfId="1" applyFont="1" applyAlignment="1" applyProtection="1">
      <alignment horizontal="left" vertical="top" indent="1"/>
    </xf>
    <xf numFmtId="0" fontId="4" fillId="0" borderId="0" xfId="0" applyFont="1" applyAlignment="1">
      <alignment horizontal="left" indent="1"/>
    </xf>
    <xf numFmtId="167" fontId="13" fillId="12" borderId="19" xfId="0" applyNumberFormat="1" applyFont="1" applyFill="1" applyBorder="1" applyAlignment="1">
      <alignment horizontal="center" vertical="center"/>
    </xf>
    <xf numFmtId="167" fontId="13" fillId="12" borderId="17" xfId="0" applyNumberFormat="1" applyFont="1" applyFill="1" applyBorder="1" applyAlignment="1">
      <alignment horizontal="center" vertical="center"/>
    </xf>
    <xf numFmtId="167" fontId="13" fillId="12" borderId="18" xfId="0" applyNumberFormat="1" applyFont="1" applyFill="1" applyBorder="1" applyAlignment="1">
      <alignment horizontal="center" vertical="center"/>
    </xf>
    <xf numFmtId="0" fontId="14" fillId="2" borderId="16" xfId="0" applyFont="1" applyFill="1" applyBorder="1" applyAlignment="1">
      <alignment horizontal="center" vertical="center" shrinkToFit="1"/>
    </xf>
    <xf numFmtId="0" fontId="14" fillId="2" borderId="14" xfId="0" applyFont="1" applyFill="1" applyBorder="1" applyAlignment="1">
      <alignment horizontal="center" vertical="center" shrinkToFit="1"/>
    </xf>
    <xf numFmtId="0" fontId="11" fillId="0" borderId="0" xfId="0" applyFont="1"/>
    <xf numFmtId="0" fontId="11" fillId="0" borderId="0" xfId="0" applyFont="1" applyAlignment="1">
      <alignment wrapText="1"/>
    </xf>
    <xf numFmtId="0" fontId="4" fillId="0" borderId="3" xfId="0" applyFont="1" applyBorder="1" applyAlignment="1">
      <alignment vertical="center"/>
    </xf>
    <xf numFmtId="0" fontId="15" fillId="6" borderId="0" xfId="0" applyFont="1" applyFill="1" applyAlignment="1">
      <alignment horizontal="left" vertical="center" indent="1"/>
    </xf>
    <xf numFmtId="0" fontId="11" fillId="6" borderId="0" xfId="11" applyFont="1" applyFill="1" applyBorder="1" applyAlignment="1">
      <alignment vertical="center"/>
    </xf>
    <xf numFmtId="9" fontId="1" fillId="6" borderId="0" xfId="2" applyFont="1" applyFill="1" applyBorder="1" applyAlignment="1">
      <alignment horizontal="center" vertical="center"/>
    </xf>
    <xf numFmtId="164" fontId="11" fillId="6" borderId="0" xfId="0" applyNumberFormat="1" applyFont="1" applyFill="1" applyAlignment="1">
      <alignment horizontal="center" vertical="center"/>
    </xf>
    <xf numFmtId="164"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1" fillId="3" borderId="6" xfId="12" applyFont="1" applyFill="1" applyBorder="1">
      <alignment horizontal="left" vertical="center" indent="2"/>
    </xf>
    <xf numFmtId="0" fontId="11" fillId="3" borderId="6" xfId="11" applyFont="1" applyFill="1" applyBorder="1" applyAlignment="1">
      <alignment vertical="center"/>
    </xf>
    <xf numFmtId="9" fontId="1" fillId="3" borderId="6" xfId="2" applyFont="1" applyFill="1" applyBorder="1" applyAlignment="1">
      <alignment horizontal="center" vertical="center"/>
    </xf>
    <xf numFmtId="164" fontId="11" fillId="3" borderId="6" xfId="10" applyFont="1" applyFill="1" applyBorder="1">
      <alignment horizontal="center" vertical="center"/>
    </xf>
    <xf numFmtId="0" fontId="4" fillId="0" borderId="4" xfId="0" applyFont="1" applyBorder="1" applyAlignment="1">
      <alignment vertical="center"/>
    </xf>
    <xf numFmtId="0" fontId="11" fillId="3" borderId="7" xfId="12" applyFont="1" applyFill="1" applyBorder="1">
      <alignment horizontal="left" vertical="center" indent="2"/>
    </xf>
    <xf numFmtId="0" fontId="11" fillId="3" borderId="7" xfId="11" applyFont="1" applyFill="1" applyBorder="1" applyAlignment="1">
      <alignment vertical="center"/>
    </xf>
    <xf numFmtId="9" fontId="1" fillId="3" borderId="7" xfId="2" applyFont="1" applyFill="1" applyBorder="1" applyAlignment="1">
      <alignment horizontal="center" vertical="center"/>
    </xf>
    <xf numFmtId="164" fontId="11" fillId="3" borderId="7" xfId="10" applyFont="1" applyFill="1" applyBorder="1">
      <alignment horizontal="center" vertical="center"/>
    </xf>
    <xf numFmtId="0" fontId="4" fillId="0" borderId="4" xfId="0" applyFont="1" applyBorder="1" applyAlignment="1">
      <alignment horizontal="right" vertical="center"/>
    </xf>
    <xf numFmtId="0" fontId="15" fillId="7" borderId="0" xfId="0" applyFont="1" applyFill="1" applyAlignment="1">
      <alignment horizontal="left" vertical="center" indent="1"/>
    </xf>
    <xf numFmtId="0" fontId="11" fillId="7" borderId="0" xfId="11" applyFont="1" applyFill="1" applyBorder="1" applyAlignment="1">
      <alignment vertical="center"/>
    </xf>
    <xf numFmtId="9" fontId="1" fillId="7" borderId="0" xfId="2" applyFont="1" applyFill="1" applyBorder="1" applyAlignment="1">
      <alignment horizontal="center" vertical="center"/>
    </xf>
    <xf numFmtId="164" fontId="11" fillId="7" borderId="0" xfId="0" applyNumberFormat="1" applyFont="1" applyFill="1" applyAlignment="1">
      <alignment horizontal="center" vertical="center"/>
    </xf>
    <xf numFmtId="164" fontId="1" fillId="7" borderId="0" xfId="0" applyNumberFormat="1" applyFont="1" applyFill="1" applyAlignment="1">
      <alignment horizontal="center" vertical="center"/>
    </xf>
    <xf numFmtId="0" fontId="11" fillId="4" borderId="5" xfId="12" applyFont="1" applyFill="1" applyBorder="1">
      <alignment horizontal="left" vertical="center" indent="2"/>
    </xf>
    <xf numFmtId="0" fontId="11" fillId="4" borderId="5" xfId="11" applyFont="1" applyFill="1" applyBorder="1" applyAlignment="1">
      <alignment vertical="center"/>
    </xf>
    <xf numFmtId="9" fontId="1" fillId="4" borderId="5" xfId="2" applyFont="1" applyFill="1" applyBorder="1" applyAlignment="1">
      <alignment horizontal="center" vertical="center"/>
    </xf>
    <xf numFmtId="164" fontId="11" fillId="4" borderId="5" xfId="10" applyFont="1" applyFill="1" applyBorder="1">
      <alignment horizontal="center" vertical="center"/>
    </xf>
    <xf numFmtId="0" fontId="15" fillId="8" borderId="0" xfId="0" applyFont="1" applyFill="1" applyAlignment="1">
      <alignment horizontal="left" vertical="center" indent="1"/>
    </xf>
    <xf numFmtId="0" fontId="11" fillId="8" borderId="0" xfId="11" applyFont="1" applyFill="1" applyBorder="1" applyAlignment="1">
      <alignment vertical="center"/>
    </xf>
    <xf numFmtId="9" fontId="1" fillId="8" borderId="0" xfId="2" applyFont="1" applyFill="1" applyBorder="1" applyAlignment="1">
      <alignment horizontal="center" vertical="center"/>
    </xf>
    <xf numFmtId="164" fontId="11" fillId="8" borderId="0" xfId="0" applyNumberFormat="1" applyFont="1" applyFill="1" applyAlignment="1">
      <alignment horizontal="center" vertical="center"/>
    </xf>
    <xf numFmtId="164" fontId="1" fillId="8" borderId="0" xfId="0" applyNumberFormat="1" applyFont="1" applyFill="1" applyAlignment="1">
      <alignment horizontal="center" vertical="center"/>
    </xf>
    <xf numFmtId="0" fontId="4" fillId="0" borderId="11" xfId="0" applyFont="1" applyBorder="1" applyAlignment="1">
      <alignment vertical="center"/>
    </xf>
    <xf numFmtId="0" fontId="11" fillId="5" borderId="8" xfId="12" applyFont="1" applyFill="1" applyBorder="1">
      <alignment horizontal="left" vertical="center" indent="2"/>
    </xf>
    <xf numFmtId="0" fontId="11" fillId="5" borderId="8" xfId="11" applyFont="1" applyFill="1" applyBorder="1" applyAlignment="1">
      <alignment vertical="center"/>
    </xf>
    <xf numFmtId="9" fontId="1" fillId="5" borderId="8" xfId="2" applyFont="1" applyFill="1" applyBorder="1" applyAlignment="1">
      <alignment horizontal="center" vertical="center"/>
    </xf>
    <xf numFmtId="164" fontId="11" fillId="5" borderId="8" xfId="10" applyFont="1" applyFill="1" applyBorder="1">
      <alignment horizontal="center" vertical="center"/>
    </xf>
    <xf numFmtId="0" fontId="15" fillId="9" borderId="0" xfId="0" applyFont="1" applyFill="1" applyAlignment="1">
      <alignment horizontal="left" vertical="center" indent="1"/>
    </xf>
    <xf numFmtId="0" fontId="11" fillId="9" borderId="0" xfId="11" applyFont="1" applyFill="1" applyBorder="1" applyAlignment="1">
      <alignment vertical="center"/>
    </xf>
    <xf numFmtId="9" fontId="1" fillId="9" borderId="0" xfId="2" applyFont="1" applyFill="1" applyBorder="1" applyAlignment="1">
      <alignment horizontal="center" vertical="center"/>
    </xf>
    <xf numFmtId="164" fontId="11" fillId="9" borderId="0" xfId="0" applyNumberFormat="1" applyFont="1" applyFill="1" applyAlignment="1">
      <alignment horizontal="center" vertical="center"/>
    </xf>
    <xf numFmtId="164" fontId="1" fillId="9" borderId="0" xfId="0" applyNumberFormat="1" applyFont="1" applyFill="1" applyAlignment="1">
      <alignment horizontal="center" vertical="center"/>
    </xf>
    <xf numFmtId="0" fontId="4" fillId="0" borderId="10" xfId="0" applyFont="1" applyBorder="1" applyAlignment="1">
      <alignment vertical="center"/>
    </xf>
    <xf numFmtId="0" fontId="11" fillId="10" borderId="9" xfId="12" applyFont="1" applyFill="1" applyBorder="1">
      <alignment horizontal="left" vertical="center" indent="2"/>
    </xf>
    <xf numFmtId="0" fontId="11" fillId="10" borderId="9" xfId="11" applyFont="1" applyFill="1" applyBorder="1" applyAlignment="1">
      <alignment vertical="center"/>
    </xf>
    <xf numFmtId="9" fontId="1" fillId="10" borderId="9" xfId="2" applyFont="1" applyFill="1" applyBorder="1" applyAlignment="1">
      <alignment horizontal="center" vertical="center"/>
    </xf>
    <xf numFmtId="164" fontId="11" fillId="10" borderId="9" xfId="10" applyFont="1" applyFill="1" applyBorder="1">
      <alignment horizontal="center" vertical="center"/>
    </xf>
    <xf numFmtId="0" fontId="19" fillId="0" borderId="0" xfId="5" applyFont="1" applyAlignment="1">
      <alignment horizontal="left" vertical="center"/>
    </xf>
    <xf numFmtId="166" fontId="11" fillId="2" borderId="13" xfId="0" applyNumberFormat="1" applyFont="1" applyFill="1" applyBorder="1" applyAlignment="1">
      <alignment horizontal="center" vertical="center" wrapText="1"/>
    </xf>
    <xf numFmtId="0" fontId="12" fillId="11" borderId="15" xfId="0" applyFont="1" applyFill="1" applyBorder="1" applyAlignment="1">
      <alignment horizontal="center" vertical="center"/>
    </xf>
    <xf numFmtId="0" fontId="4" fillId="2" borderId="20" xfId="0" applyFont="1" applyFill="1" applyBorder="1"/>
    <xf numFmtId="0" fontId="17" fillId="0" borderId="0" xfId="0" applyFont="1" applyAlignment="1">
      <alignment horizontal="left"/>
    </xf>
    <xf numFmtId="0" fontId="18" fillId="0" borderId="0" xfId="0" applyFont="1"/>
    <xf numFmtId="165" fontId="17" fillId="0" borderId="0" xfId="9" applyFont="1" applyBorder="1" applyAlignment="1">
      <alignment horizontal="left"/>
    </xf>
    <xf numFmtId="0" fontId="16" fillId="0" borderId="0" xfId="8" applyFont="1" applyAlignment="1">
      <alignment horizontal="left"/>
    </xf>
    <xf numFmtId="0" fontId="4" fillId="0" borderId="0" xfId="0" applyFont="1"/>
    <xf numFmtId="0" fontId="16" fillId="0" borderId="0" xfId="6" applyFont="1" applyAlignment="1">
      <alignment horizontal="center" vertical="center"/>
    </xf>
    <xf numFmtId="166" fontId="11" fillId="2" borderId="17" xfId="0" applyNumberFormat="1" applyFont="1" applyFill="1" applyBorder="1" applyAlignment="1">
      <alignment horizontal="center" vertical="center" wrapText="1"/>
    </xf>
    <xf numFmtId="0" fontId="7" fillId="0" borderId="0" xfId="3" applyAlignment="1">
      <alignment wrapText="1"/>
    </xf>
    <xf numFmtId="0" fontId="12" fillId="11" borderId="15" xfId="0" applyFont="1" applyFill="1" applyBorder="1" applyAlignment="1">
      <alignment horizontal="left" vertical="center" indent="1"/>
    </xf>
    <xf numFmtId="0" fontId="4" fillId="2" borderId="20" xfId="0" applyFont="1" applyFill="1" applyBorder="1" applyAlignment="1">
      <alignment horizontal="left" indent="1"/>
    </xf>
    <xf numFmtId="0" fontId="12" fillId="11" borderId="15" xfId="0" applyFont="1" applyFill="1" applyBorder="1" applyAlignment="1">
      <alignment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36">
    <dxf>
      <fill>
        <patternFill patternType="solid">
          <fgColor indexed="64"/>
          <bgColor rgb="FFFFCBA7"/>
        </patternFill>
      </fill>
    </dxf>
    <dxf>
      <fill>
        <patternFill>
          <bgColor rgb="FFFF6600"/>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6600"/>
      <color rgb="FFFFCBA7"/>
      <color rgb="FFFFCCB3"/>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K48"/>
  <sheetViews>
    <sheetView showGridLines="0" tabSelected="1" showRuler="0" zoomScale="70" zoomScaleNormal="70" zoomScalePageLayoutView="70" workbookViewId="0">
      <selection activeCell="V42" sqref="V42"/>
    </sheetView>
  </sheetViews>
  <sheetFormatPr defaultColWidth="8.625" defaultRowHeight="30" customHeight="1" x14ac:dyDescent="0.2"/>
  <cols>
    <col min="1" max="1" width="2.625" style="4" customWidth="1"/>
    <col min="2" max="2" width="45.375" customWidth="1"/>
    <col min="3" max="3" width="12" bestFit="1" customWidth="1"/>
    <col min="4" max="4" width="10.625" customWidth="1"/>
    <col min="5" max="5" width="10.625" style="2" customWidth="1"/>
    <col min="6" max="6" width="10.625" customWidth="1"/>
    <col min="7" max="7" width="2.625" customWidth="1"/>
    <col min="8" max="8" width="6" hidden="1" customWidth="1"/>
    <col min="9" max="36" width="4.625" customWidth="1"/>
    <col min="37" max="37" width="2.625" customWidth="1"/>
  </cols>
  <sheetData>
    <row r="1" spans="1:36" ht="90" customHeight="1" x14ac:dyDescent="0.5">
      <c r="A1" s="5"/>
      <c r="B1" s="69" t="s">
        <v>0</v>
      </c>
      <c r="C1" s="7"/>
      <c r="D1" s="8"/>
      <c r="E1" s="9"/>
      <c r="F1" s="10"/>
      <c r="H1" s="1"/>
      <c r="I1" s="76" t="s">
        <v>1</v>
      </c>
      <c r="J1" s="77"/>
      <c r="K1" s="77"/>
      <c r="L1" s="77"/>
      <c r="M1" s="77"/>
      <c r="N1" s="77"/>
      <c r="O1" s="77"/>
      <c r="P1" s="11"/>
      <c r="Q1" s="75">
        <v>46059</v>
      </c>
      <c r="R1" s="74"/>
      <c r="S1" s="74"/>
      <c r="T1" s="74"/>
      <c r="U1" s="74"/>
      <c r="V1" s="74"/>
      <c r="W1" s="74"/>
      <c r="X1" s="74"/>
      <c r="Y1" s="74"/>
      <c r="Z1" s="74"/>
    </row>
    <row r="2" spans="1:36" ht="30" customHeight="1" x14ac:dyDescent="0.5">
      <c r="B2" s="78" t="s">
        <v>16</v>
      </c>
      <c r="C2" s="78"/>
      <c r="D2" s="78"/>
      <c r="E2" s="78"/>
      <c r="F2" s="78"/>
      <c r="I2" s="76" t="s">
        <v>2</v>
      </c>
      <c r="J2" s="77"/>
      <c r="K2" s="77"/>
      <c r="L2" s="77"/>
      <c r="M2" s="77"/>
      <c r="N2" s="77"/>
      <c r="O2" s="77"/>
      <c r="P2" s="11"/>
      <c r="Q2" s="73">
        <v>1</v>
      </c>
      <c r="R2" s="74"/>
      <c r="S2" s="74"/>
      <c r="T2" s="74"/>
      <c r="U2" s="74"/>
      <c r="V2" s="74"/>
      <c r="W2" s="74"/>
      <c r="X2" s="74"/>
      <c r="Y2" s="74"/>
      <c r="Z2" s="74"/>
    </row>
    <row r="3" spans="1:36" s="12" customFormat="1" ht="30" customHeight="1" x14ac:dyDescent="0.2">
      <c r="A3" s="4"/>
      <c r="B3" s="78"/>
      <c r="C3" s="78"/>
      <c r="D3" s="78"/>
      <c r="E3" s="78"/>
      <c r="F3" s="78"/>
    </row>
    <row r="4" spans="1:36" s="12" customFormat="1" ht="30" customHeight="1" x14ac:dyDescent="0.2">
      <c r="A4" s="5"/>
      <c r="B4" s="13"/>
      <c r="E4" s="14"/>
      <c r="I4" s="79">
        <f>I5</f>
        <v>46055</v>
      </c>
      <c r="J4" s="70"/>
      <c r="K4" s="70"/>
      <c r="L4" s="70"/>
      <c r="M4" s="70"/>
      <c r="N4" s="70"/>
      <c r="O4" s="70"/>
      <c r="P4" s="70">
        <f>P5</f>
        <v>46062</v>
      </c>
      <c r="Q4" s="70"/>
      <c r="R4" s="70"/>
      <c r="S4" s="70"/>
      <c r="T4" s="70"/>
      <c r="U4" s="70"/>
      <c r="V4" s="70"/>
      <c r="W4" s="70">
        <f>W5</f>
        <v>46069</v>
      </c>
      <c r="X4" s="70"/>
      <c r="Y4" s="70"/>
      <c r="Z4" s="70"/>
      <c r="AA4" s="70"/>
      <c r="AB4" s="70"/>
      <c r="AC4" s="70"/>
      <c r="AD4" s="70">
        <f>AD5</f>
        <v>46076</v>
      </c>
      <c r="AE4" s="70"/>
      <c r="AF4" s="70"/>
      <c r="AG4" s="70"/>
      <c r="AH4" s="70"/>
      <c r="AI4" s="70"/>
      <c r="AJ4" s="70"/>
    </row>
    <row r="5" spans="1:36" s="12" customFormat="1" ht="15" customHeight="1" x14ac:dyDescent="0.2">
      <c r="A5" s="80"/>
      <c r="B5" s="81" t="s">
        <v>3</v>
      </c>
      <c r="C5" s="83" t="s">
        <v>4</v>
      </c>
      <c r="D5" s="71" t="s">
        <v>5</v>
      </c>
      <c r="E5" s="71" t="s">
        <v>6</v>
      </c>
      <c r="F5" s="71" t="s">
        <v>7</v>
      </c>
      <c r="I5" s="15">
        <f>Project_Start-WEEKDAY(Project_Start,1)+2+7*(Display_Week-1)</f>
        <v>46055</v>
      </c>
      <c r="J5" s="15">
        <f>I5+1</f>
        <v>46056</v>
      </c>
      <c r="K5" s="15">
        <f t="shared" ref="K5:AJ5" si="0">J5+1</f>
        <v>46057</v>
      </c>
      <c r="L5" s="15">
        <f t="shared" si="0"/>
        <v>46058</v>
      </c>
      <c r="M5" s="15">
        <f t="shared" si="0"/>
        <v>46059</v>
      </c>
      <c r="N5" s="15">
        <f t="shared" si="0"/>
        <v>46060</v>
      </c>
      <c r="O5" s="16">
        <f t="shared" si="0"/>
        <v>46061</v>
      </c>
      <c r="P5" s="17">
        <f>O5+1</f>
        <v>46062</v>
      </c>
      <c r="Q5" s="15">
        <f>P5+1</f>
        <v>46063</v>
      </c>
      <c r="R5" s="15">
        <f t="shared" si="0"/>
        <v>46064</v>
      </c>
      <c r="S5" s="15">
        <f t="shared" si="0"/>
        <v>46065</v>
      </c>
      <c r="T5" s="15">
        <f t="shared" si="0"/>
        <v>46066</v>
      </c>
      <c r="U5" s="15">
        <f t="shared" si="0"/>
        <v>46067</v>
      </c>
      <c r="V5" s="16">
        <f t="shared" si="0"/>
        <v>46068</v>
      </c>
      <c r="W5" s="17">
        <f>V5+1</f>
        <v>46069</v>
      </c>
      <c r="X5" s="15">
        <f>W5+1</f>
        <v>46070</v>
      </c>
      <c r="Y5" s="15">
        <f t="shared" si="0"/>
        <v>46071</v>
      </c>
      <c r="Z5" s="15">
        <f t="shared" si="0"/>
        <v>46072</v>
      </c>
      <c r="AA5" s="15">
        <f t="shared" si="0"/>
        <v>46073</v>
      </c>
      <c r="AB5" s="15">
        <f t="shared" si="0"/>
        <v>46074</v>
      </c>
      <c r="AC5" s="16">
        <f t="shared" si="0"/>
        <v>46075</v>
      </c>
      <c r="AD5" s="17">
        <f>AC5+1</f>
        <v>46076</v>
      </c>
      <c r="AE5" s="15">
        <f>AD5+1</f>
        <v>46077</v>
      </c>
      <c r="AF5" s="15">
        <f t="shared" si="0"/>
        <v>46078</v>
      </c>
      <c r="AG5" s="15">
        <f t="shared" si="0"/>
        <v>46079</v>
      </c>
      <c r="AH5" s="15">
        <f t="shared" si="0"/>
        <v>46080</v>
      </c>
      <c r="AI5" s="15">
        <f t="shared" si="0"/>
        <v>46081</v>
      </c>
      <c r="AJ5" s="16">
        <f t="shared" si="0"/>
        <v>46082</v>
      </c>
    </row>
    <row r="6" spans="1:36" s="12" customFormat="1" ht="15" customHeight="1" thickBot="1" x14ac:dyDescent="0.25">
      <c r="A6" s="80"/>
      <c r="B6" s="82"/>
      <c r="C6" s="72"/>
      <c r="D6" s="72"/>
      <c r="E6" s="72"/>
      <c r="F6" s="72"/>
      <c r="I6" s="18" t="str">
        <f t="shared" ref="I6:AJ6" si="1">LEFT(TEXT(I5,"ddd"),1)</f>
        <v>M</v>
      </c>
      <c r="J6" s="19" t="str">
        <f t="shared" si="1"/>
        <v>T</v>
      </c>
      <c r="K6" s="19" t="str">
        <f t="shared" si="1"/>
        <v>W</v>
      </c>
      <c r="L6" s="19" t="str">
        <f t="shared" si="1"/>
        <v>T</v>
      </c>
      <c r="M6" s="19" t="str">
        <f t="shared" si="1"/>
        <v>F</v>
      </c>
      <c r="N6" s="19" t="str">
        <f t="shared" si="1"/>
        <v>S</v>
      </c>
      <c r="O6" s="19" t="str">
        <f t="shared" si="1"/>
        <v>S</v>
      </c>
      <c r="P6" s="19" t="str">
        <f t="shared" si="1"/>
        <v>M</v>
      </c>
      <c r="Q6" s="19" t="str">
        <f t="shared" si="1"/>
        <v>T</v>
      </c>
      <c r="R6" s="19" t="str">
        <f t="shared" si="1"/>
        <v>W</v>
      </c>
      <c r="S6" s="19" t="str">
        <f t="shared" si="1"/>
        <v>T</v>
      </c>
      <c r="T6" s="19" t="str">
        <f t="shared" si="1"/>
        <v>F</v>
      </c>
      <c r="U6" s="19" t="str">
        <f t="shared" si="1"/>
        <v>S</v>
      </c>
      <c r="V6" s="19" t="str">
        <f t="shared" si="1"/>
        <v>S</v>
      </c>
      <c r="W6" s="19" t="str">
        <f t="shared" si="1"/>
        <v>M</v>
      </c>
      <c r="X6" s="19" t="str">
        <f t="shared" si="1"/>
        <v>T</v>
      </c>
      <c r="Y6" s="19" t="str">
        <f t="shared" si="1"/>
        <v>W</v>
      </c>
      <c r="Z6" s="19" t="str">
        <f t="shared" si="1"/>
        <v>T</v>
      </c>
      <c r="AA6" s="19" t="str">
        <f t="shared" si="1"/>
        <v>F</v>
      </c>
      <c r="AB6" s="19" t="str">
        <f t="shared" si="1"/>
        <v>S</v>
      </c>
      <c r="AC6" s="19" t="str">
        <f t="shared" si="1"/>
        <v>S</v>
      </c>
      <c r="AD6" s="19" t="str">
        <f t="shared" si="1"/>
        <v>M</v>
      </c>
      <c r="AE6" s="19" t="str">
        <f t="shared" si="1"/>
        <v>T</v>
      </c>
      <c r="AF6" s="19" t="str">
        <f t="shared" si="1"/>
        <v>W</v>
      </c>
      <c r="AG6" s="19" t="str">
        <f t="shared" si="1"/>
        <v>T</v>
      </c>
      <c r="AH6" s="19" t="str">
        <f t="shared" si="1"/>
        <v>F</v>
      </c>
      <c r="AI6" s="19" t="str">
        <f t="shared" si="1"/>
        <v>S</v>
      </c>
      <c r="AJ6" s="19" t="str">
        <f t="shared" si="1"/>
        <v>S</v>
      </c>
    </row>
    <row r="7" spans="1:36" s="12" customFormat="1" ht="30" hidden="1" customHeight="1" thickBot="1" x14ac:dyDescent="0.25">
      <c r="A7" s="4" t="s">
        <v>8</v>
      </c>
      <c r="B7" s="20"/>
      <c r="C7" s="21"/>
      <c r="D7" s="20"/>
      <c r="E7" s="20"/>
      <c r="F7" s="20"/>
      <c r="H7" s="12" t="str">
        <f>IF(OR(ISBLANK(task_start),ISBLANK(task_end)),"",task_end-task_start+1)</f>
        <v/>
      </c>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row>
    <row r="8" spans="1:36" s="29" customFormat="1" ht="30" customHeight="1" thickBot="1" x14ac:dyDescent="0.25">
      <c r="A8" s="5"/>
      <c r="B8" s="23" t="s">
        <v>9</v>
      </c>
      <c r="C8" s="24"/>
      <c r="D8" s="25"/>
      <c r="E8" s="26"/>
      <c r="F8" s="27"/>
      <c r="G8" s="6"/>
      <c r="H8" s="3" t="str">
        <f t="shared" ref="H8:H33" si="2">IF(OR(ISBLANK(task_start),ISBLANK(task_end)),"",task_end-task_start+1)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row>
    <row r="9" spans="1:36" s="29" customFormat="1" ht="30" customHeight="1" thickBot="1" x14ac:dyDescent="0.25">
      <c r="A9" s="5"/>
      <c r="B9" s="30" t="s">
        <v>21</v>
      </c>
      <c r="C9" s="31" t="s">
        <v>45</v>
      </c>
      <c r="D9" s="32">
        <v>0</v>
      </c>
      <c r="E9" s="33">
        <v>46066</v>
      </c>
      <c r="F9" s="33">
        <f>E9+3</f>
        <v>46069</v>
      </c>
      <c r="G9" s="6"/>
      <c r="H9" s="3">
        <f t="shared" si="2"/>
        <v>4</v>
      </c>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row>
    <row r="10" spans="1:36" s="29" customFormat="1" ht="30" customHeight="1" thickBot="1" x14ac:dyDescent="0.25">
      <c r="A10" s="5"/>
      <c r="B10" s="35" t="s">
        <v>22</v>
      </c>
      <c r="C10" s="36" t="s">
        <v>46</v>
      </c>
      <c r="D10" s="37">
        <v>0</v>
      </c>
      <c r="E10" s="38">
        <v>46069</v>
      </c>
      <c r="F10" s="38">
        <v>46077</v>
      </c>
      <c r="G10" s="6"/>
      <c r="H10" s="3">
        <f t="shared" si="2"/>
        <v>9</v>
      </c>
      <c r="I10" s="34"/>
      <c r="J10" s="34"/>
      <c r="K10" s="34"/>
      <c r="L10" s="34"/>
      <c r="M10" s="34"/>
      <c r="N10" s="34"/>
      <c r="O10" s="34"/>
      <c r="P10" s="34"/>
      <c r="Q10" s="34"/>
      <c r="R10" s="34"/>
      <c r="S10" s="34"/>
      <c r="T10" s="34"/>
      <c r="U10" s="39"/>
      <c r="V10" s="39"/>
      <c r="W10" s="34"/>
      <c r="X10" s="34"/>
      <c r="Y10" s="34"/>
      <c r="Z10" s="34"/>
      <c r="AA10" s="34"/>
      <c r="AB10" s="34"/>
      <c r="AC10" s="34"/>
      <c r="AD10" s="34"/>
      <c r="AE10" s="34"/>
      <c r="AF10" s="34"/>
      <c r="AG10" s="34"/>
      <c r="AH10" s="34"/>
      <c r="AI10" s="34"/>
      <c r="AJ10" s="34"/>
    </row>
    <row r="11" spans="1:36" s="29" customFormat="1" ht="30" customHeight="1" thickBot="1" x14ac:dyDescent="0.25">
      <c r="A11" s="4"/>
      <c r="B11" s="35" t="s">
        <v>39</v>
      </c>
      <c r="C11" s="36" t="s">
        <v>20</v>
      </c>
      <c r="D11" s="37">
        <v>0</v>
      </c>
      <c r="E11" s="38">
        <v>46073</v>
      </c>
      <c r="F11" s="38">
        <v>46077</v>
      </c>
      <c r="G11" s="6"/>
      <c r="H11" s="3">
        <f t="shared" si="2"/>
        <v>5</v>
      </c>
      <c r="I11" s="34"/>
      <c r="J11" s="34"/>
      <c r="K11" s="34"/>
      <c r="L11" s="34"/>
      <c r="M11" s="34"/>
      <c r="N11" s="34"/>
      <c r="O11" s="34"/>
      <c r="P11" s="34"/>
      <c r="Q11" s="34"/>
      <c r="R11" s="34"/>
      <c r="S11" s="34"/>
      <c r="T11" s="34"/>
      <c r="U11" s="34"/>
      <c r="V11" s="34"/>
      <c r="W11" s="34"/>
      <c r="X11" s="34"/>
      <c r="Y11" s="34"/>
      <c r="Z11" s="34"/>
      <c r="AA11" s="34"/>
      <c r="AB11" s="34"/>
      <c r="AC11" s="34"/>
      <c r="AD11" s="34"/>
      <c r="AE11" s="34"/>
      <c r="AF11" s="34"/>
      <c r="AG11" s="34"/>
      <c r="AH11" s="34"/>
      <c r="AI11" s="34"/>
      <c r="AJ11" s="34"/>
    </row>
    <row r="12" spans="1:36" s="29" customFormat="1" ht="30" customHeight="1" thickBot="1" x14ac:dyDescent="0.25">
      <c r="A12" s="4"/>
      <c r="B12" s="35" t="s">
        <v>40</v>
      </c>
      <c r="C12" s="36" t="s">
        <v>45</v>
      </c>
      <c r="D12" s="37">
        <v>0</v>
      </c>
      <c r="E12" s="38">
        <v>46077</v>
      </c>
      <c r="F12" s="38">
        <v>46077</v>
      </c>
      <c r="G12" s="6"/>
      <c r="H12" s="3">
        <f t="shared" si="2"/>
        <v>1</v>
      </c>
      <c r="I12" s="34"/>
      <c r="J12" s="34"/>
      <c r="K12" s="34"/>
      <c r="L12" s="34"/>
      <c r="M12" s="34"/>
      <c r="N12" s="34"/>
      <c r="O12" s="34"/>
      <c r="P12" s="34"/>
      <c r="Q12" s="34"/>
      <c r="R12" s="34"/>
      <c r="S12" s="34"/>
      <c r="T12" s="34"/>
      <c r="U12" s="34"/>
      <c r="V12" s="34"/>
      <c r="W12" s="34"/>
      <c r="X12" s="34"/>
      <c r="Y12" s="39"/>
      <c r="Z12" s="34"/>
      <c r="AA12" s="34"/>
      <c r="AB12" s="34"/>
      <c r="AC12" s="34"/>
      <c r="AD12" s="34"/>
      <c r="AE12" s="34"/>
      <c r="AF12" s="34"/>
      <c r="AG12" s="34"/>
      <c r="AH12" s="34"/>
      <c r="AI12" s="34"/>
      <c r="AJ12" s="34"/>
    </row>
    <row r="13" spans="1:36" s="29" customFormat="1" ht="30" customHeight="1" thickBot="1" x14ac:dyDescent="0.25">
      <c r="A13" s="4"/>
      <c r="B13" s="35" t="s">
        <v>23</v>
      </c>
      <c r="C13" s="36" t="s">
        <v>45</v>
      </c>
      <c r="D13" s="37">
        <v>0</v>
      </c>
      <c r="E13" s="38">
        <v>46077</v>
      </c>
      <c r="F13" s="38">
        <v>46077</v>
      </c>
      <c r="G13" s="6"/>
      <c r="H13" s="3">
        <f t="shared" si="2"/>
        <v>1</v>
      </c>
      <c r="I13" s="34"/>
      <c r="J13" s="34"/>
      <c r="K13" s="34"/>
      <c r="L13" s="34"/>
      <c r="M13" s="34"/>
      <c r="N13" s="34"/>
      <c r="O13" s="34"/>
      <c r="P13" s="34"/>
      <c r="Q13" s="34"/>
      <c r="R13" s="34"/>
      <c r="S13" s="34"/>
      <c r="T13" s="34"/>
      <c r="U13" s="34"/>
      <c r="V13" s="34"/>
      <c r="W13" s="34"/>
      <c r="X13" s="34"/>
      <c r="Y13" s="34"/>
      <c r="Z13" s="34"/>
      <c r="AA13" s="34"/>
      <c r="AB13" s="34"/>
      <c r="AC13" s="34"/>
      <c r="AD13" s="34"/>
      <c r="AE13" s="34"/>
      <c r="AF13" s="34"/>
      <c r="AG13" s="34"/>
      <c r="AH13" s="34"/>
      <c r="AI13" s="34"/>
      <c r="AJ13" s="34"/>
    </row>
    <row r="14" spans="1:36" s="29" customFormat="1" ht="30" customHeight="1" thickBot="1" x14ac:dyDescent="0.25">
      <c r="A14" s="5"/>
      <c r="B14" s="40" t="s">
        <v>10</v>
      </c>
      <c r="C14" s="41"/>
      <c r="D14" s="42"/>
      <c r="E14" s="43"/>
      <c r="F14" s="44"/>
      <c r="G14" s="6"/>
      <c r="H14" s="3" t="str">
        <f t="shared" si="2"/>
        <v/>
      </c>
    </row>
    <row r="15" spans="1:36" s="29" customFormat="1" ht="30" customHeight="1" thickBot="1" x14ac:dyDescent="0.25">
      <c r="A15" s="5"/>
      <c r="B15" s="45" t="s">
        <v>17</v>
      </c>
      <c r="C15" s="46" t="s">
        <v>20</v>
      </c>
      <c r="D15" s="47">
        <v>1</v>
      </c>
      <c r="E15" s="48">
        <v>46059</v>
      </c>
      <c r="F15" s="48">
        <v>46059</v>
      </c>
      <c r="G15" s="6"/>
      <c r="H15" s="3">
        <f t="shared" si="2"/>
        <v>1</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row>
    <row r="16" spans="1:36" s="29" customFormat="1" ht="30" customHeight="1" thickBot="1" x14ac:dyDescent="0.25">
      <c r="A16" s="4"/>
      <c r="B16" s="45" t="s">
        <v>25</v>
      </c>
      <c r="C16" s="46" t="s">
        <v>45</v>
      </c>
      <c r="D16" s="47">
        <v>0</v>
      </c>
      <c r="E16" s="48">
        <v>46066</v>
      </c>
      <c r="F16" s="48">
        <v>46071</v>
      </c>
      <c r="G16" s="6"/>
      <c r="H16" s="3">
        <f t="shared" si="2"/>
        <v>6</v>
      </c>
      <c r="I16" s="34"/>
      <c r="J16" s="34"/>
      <c r="K16" s="34"/>
      <c r="L16" s="34"/>
      <c r="M16" s="34"/>
      <c r="N16" s="34"/>
      <c r="O16" s="34"/>
      <c r="P16" s="34"/>
      <c r="Q16" s="34"/>
      <c r="R16" s="34"/>
      <c r="S16" s="34"/>
      <c r="T16" s="34"/>
      <c r="U16" s="39"/>
      <c r="V16" s="39"/>
      <c r="W16" s="34"/>
      <c r="X16" s="34"/>
      <c r="Y16" s="34"/>
      <c r="Z16" s="34"/>
      <c r="AA16" s="34"/>
      <c r="AB16" s="34"/>
      <c r="AC16" s="34"/>
      <c r="AD16" s="34"/>
      <c r="AE16" s="34"/>
      <c r="AF16" s="34"/>
      <c r="AG16" s="34"/>
      <c r="AH16" s="34"/>
      <c r="AI16" s="34"/>
      <c r="AJ16" s="34"/>
    </row>
    <row r="17" spans="1:36" s="29" customFormat="1" ht="30" customHeight="1" thickBot="1" x14ac:dyDescent="0.25">
      <c r="A17" s="4"/>
      <c r="B17" s="45" t="s">
        <v>41</v>
      </c>
      <c r="C17" s="46" t="s">
        <v>43</v>
      </c>
      <c r="D17" s="47">
        <v>0</v>
      </c>
      <c r="E17" s="48">
        <v>46066</v>
      </c>
      <c r="F17" s="48">
        <v>46073</v>
      </c>
      <c r="G17" s="6"/>
      <c r="H17" s="3"/>
      <c r="I17" s="34"/>
      <c r="J17" s="34"/>
      <c r="K17" s="34"/>
      <c r="L17" s="34"/>
      <c r="M17" s="34"/>
      <c r="N17" s="34"/>
      <c r="O17" s="34"/>
      <c r="P17" s="34"/>
      <c r="Q17" s="34"/>
      <c r="R17" s="34"/>
      <c r="S17" s="34"/>
      <c r="T17" s="34"/>
      <c r="U17" s="39"/>
      <c r="V17" s="39"/>
      <c r="W17" s="34"/>
      <c r="X17" s="34"/>
      <c r="Y17" s="34"/>
      <c r="Z17" s="34"/>
      <c r="AA17" s="34"/>
      <c r="AB17" s="34"/>
      <c r="AC17" s="34"/>
      <c r="AD17" s="34"/>
      <c r="AE17" s="34"/>
      <c r="AF17" s="34"/>
      <c r="AG17" s="34"/>
      <c r="AH17" s="34"/>
      <c r="AI17" s="34"/>
      <c r="AJ17" s="34"/>
    </row>
    <row r="18" spans="1:36" s="29" customFormat="1" ht="30" customHeight="1" thickBot="1" x14ac:dyDescent="0.25">
      <c r="A18" s="4"/>
      <c r="B18" s="45" t="s">
        <v>42</v>
      </c>
      <c r="C18" s="46" t="s">
        <v>44</v>
      </c>
      <c r="D18" s="47">
        <v>0</v>
      </c>
      <c r="E18" s="48">
        <v>46069</v>
      </c>
      <c r="F18" s="48">
        <v>46073</v>
      </c>
      <c r="G18" s="6"/>
      <c r="H18" s="3">
        <f t="shared" si="2"/>
        <v>5</v>
      </c>
      <c r="I18" s="34"/>
      <c r="J18" s="34"/>
      <c r="K18" s="34"/>
      <c r="L18" s="34"/>
      <c r="M18" s="34"/>
      <c r="N18" s="34"/>
      <c r="O18" s="34"/>
      <c r="P18" s="34"/>
      <c r="Q18" s="34"/>
      <c r="R18" s="34"/>
      <c r="S18" s="34"/>
      <c r="T18" s="34"/>
      <c r="U18" s="34"/>
      <c r="V18" s="34"/>
      <c r="W18" s="34"/>
      <c r="X18" s="34"/>
      <c r="Y18" s="34"/>
      <c r="Z18" s="34"/>
      <c r="AA18" s="34"/>
      <c r="AB18" s="34"/>
      <c r="AC18" s="34"/>
      <c r="AD18" s="34"/>
      <c r="AE18" s="34"/>
      <c r="AF18" s="34"/>
      <c r="AG18" s="34"/>
      <c r="AH18" s="34"/>
      <c r="AI18" s="34"/>
      <c r="AJ18" s="34"/>
    </row>
    <row r="19" spans="1:36" s="29" customFormat="1" ht="30" customHeight="1" thickBot="1" x14ac:dyDescent="0.25">
      <c r="A19" s="4"/>
      <c r="B19" s="45" t="s">
        <v>24</v>
      </c>
      <c r="C19" s="46" t="s">
        <v>20</v>
      </c>
      <c r="D19" s="47">
        <v>0</v>
      </c>
      <c r="E19" s="48">
        <v>46069</v>
      </c>
      <c r="F19" s="48">
        <v>46073</v>
      </c>
      <c r="G19" s="6"/>
      <c r="H19" s="3">
        <f t="shared" si="2"/>
        <v>5</v>
      </c>
      <c r="I19" s="34"/>
      <c r="J19" s="34"/>
      <c r="K19" s="34"/>
      <c r="L19" s="34"/>
      <c r="M19" s="34"/>
      <c r="N19" s="34"/>
      <c r="O19" s="34"/>
      <c r="P19" s="34"/>
      <c r="Q19" s="34"/>
      <c r="R19" s="34"/>
      <c r="S19" s="34"/>
      <c r="T19" s="34"/>
      <c r="U19" s="34"/>
      <c r="V19" s="34"/>
      <c r="W19" s="34"/>
      <c r="X19" s="34"/>
      <c r="Y19" s="39"/>
      <c r="Z19" s="34"/>
      <c r="AA19" s="34"/>
      <c r="AB19" s="34"/>
      <c r="AC19" s="34"/>
      <c r="AD19" s="34"/>
      <c r="AE19" s="34"/>
      <c r="AF19" s="34"/>
      <c r="AG19" s="34"/>
      <c r="AH19" s="34"/>
      <c r="AI19" s="34"/>
      <c r="AJ19" s="34"/>
    </row>
    <row r="20" spans="1:36" s="29" customFormat="1" ht="30" customHeight="1" thickBot="1" x14ac:dyDescent="0.25">
      <c r="A20" s="4"/>
      <c r="B20" s="45" t="s">
        <v>26</v>
      </c>
      <c r="C20" s="46" t="s">
        <v>45</v>
      </c>
      <c r="D20" s="47">
        <v>0</v>
      </c>
      <c r="E20" s="48">
        <v>46073</v>
      </c>
      <c r="F20" s="48">
        <v>46073</v>
      </c>
      <c r="G20" s="6"/>
      <c r="H20" s="3">
        <f t="shared" si="2"/>
        <v>1</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row>
    <row r="21" spans="1:36" s="29" customFormat="1" ht="30" customHeight="1" thickBot="1" x14ac:dyDescent="0.25">
      <c r="A21" s="4"/>
      <c r="B21" s="49" t="s">
        <v>11</v>
      </c>
      <c r="C21" s="50"/>
      <c r="D21" s="51"/>
      <c r="E21" s="52"/>
      <c r="F21" s="53"/>
      <c r="G21" s="6"/>
      <c r="H21" s="3" t="str">
        <f t="shared" si="2"/>
        <v/>
      </c>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row>
    <row r="22" spans="1:36" s="29" customFormat="1" ht="30" customHeight="1" thickBot="1" x14ac:dyDescent="0.25">
      <c r="A22" s="4"/>
      <c r="B22" s="55" t="s">
        <v>17</v>
      </c>
      <c r="C22" s="56" t="s">
        <v>20</v>
      </c>
      <c r="D22" s="57">
        <v>1</v>
      </c>
      <c r="E22" s="58">
        <v>46059</v>
      </c>
      <c r="F22" s="58">
        <v>46062</v>
      </c>
      <c r="G22" s="6"/>
      <c r="H22" s="3">
        <f t="shared" si="2"/>
        <v>4</v>
      </c>
      <c r="I22" s="34"/>
      <c r="J22" s="34"/>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row>
    <row r="23" spans="1:36" s="29" customFormat="1" ht="30" customHeight="1" thickBot="1" x14ac:dyDescent="0.25">
      <c r="A23" s="4"/>
      <c r="B23" s="55" t="s">
        <v>18</v>
      </c>
      <c r="C23" s="56" t="s">
        <v>45</v>
      </c>
      <c r="D23" s="57">
        <v>1</v>
      </c>
      <c r="E23" s="58">
        <v>46063</v>
      </c>
      <c r="F23" s="58">
        <v>46064</v>
      </c>
      <c r="G23" s="6"/>
      <c r="H23" s="3">
        <f t="shared" si="2"/>
        <v>2</v>
      </c>
      <c r="I23" s="34"/>
      <c r="J23" s="34"/>
      <c r="K23" s="34"/>
      <c r="L23" s="34"/>
      <c r="M23" s="34"/>
      <c r="N23" s="34"/>
      <c r="O23" s="34"/>
      <c r="P23" s="34"/>
      <c r="Q23" s="34"/>
      <c r="R23" s="34"/>
      <c r="S23" s="34"/>
      <c r="T23" s="34"/>
      <c r="U23" s="34"/>
      <c r="V23" s="34"/>
      <c r="W23" s="34"/>
      <c r="X23" s="34"/>
      <c r="Y23" s="34"/>
      <c r="Z23" s="34"/>
      <c r="AA23" s="34"/>
      <c r="AB23" s="34"/>
      <c r="AC23" s="34"/>
      <c r="AD23" s="34"/>
      <c r="AE23" s="34"/>
      <c r="AF23" s="34"/>
      <c r="AG23" s="34"/>
      <c r="AH23" s="34"/>
      <c r="AI23" s="34"/>
      <c r="AJ23" s="34"/>
    </row>
    <row r="24" spans="1:36" s="29" customFormat="1" ht="30" customHeight="1" thickBot="1" x14ac:dyDescent="0.25">
      <c r="A24" s="4"/>
      <c r="B24" s="55" t="s">
        <v>24</v>
      </c>
      <c r="C24" s="56" t="s">
        <v>20</v>
      </c>
      <c r="D24" s="57">
        <v>0.75</v>
      </c>
      <c r="E24" s="58">
        <v>46065</v>
      </c>
      <c r="F24" s="58">
        <v>46066</v>
      </c>
      <c r="G24" s="6"/>
      <c r="H24" s="3">
        <f t="shared" si="2"/>
        <v>2</v>
      </c>
      <c r="I24" s="34"/>
      <c r="J24" s="34"/>
      <c r="K24" s="34"/>
      <c r="L24" s="34"/>
      <c r="M24" s="34"/>
      <c r="N24" s="34"/>
      <c r="O24" s="34"/>
      <c r="P24" s="34"/>
      <c r="Q24" s="34"/>
      <c r="R24" s="34"/>
      <c r="S24" s="34"/>
      <c r="T24" s="34"/>
      <c r="U24" s="34"/>
      <c r="V24" s="34"/>
      <c r="W24" s="34"/>
      <c r="X24" s="34"/>
      <c r="Y24" s="34"/>
      <c r="Z24" s="34"/>
      <c r="AA24" s="34"/>
      <c r="AB24" s="34"/>
      <c r="AC24" s="34"/>
      <c r="AD24" s="34"/>
      <c r="AE24" s="34"/>
      <c r="AF24" s="34"/>
      <c r="AG24" s="34"/>
      <c r="AH24" s="34"/>
      <c r="AI24" s="34"/>
      <c r="AJ24" s="34"/>
    </row>
    <row r="25" spans="1:36" s="29" customFormat="1" ht="30" customHeight="1" thickBot="1" x14ac:dyDescent="0.25">
      <c r="A25" s="4"/>
      <c r="B25" s="55" t="s">
        <v>19</v>
      </c>
      <c r="C25" s="56" t="s">
        <v>45</v>
      </c>
      <c r="D25" s="57">
        <v>0</v>
      </c>
      <c r="E25" s="58">
        <v>46065</v>
      </c>
      <c r="F25" s="58">
        <v>46066</v>
      </c>
      <c r="G25" s="6"/>
      <c r="H25" s="3">
        <f t="shared" si="2"/>
        <v>2</v>
      </c>
      <c r="I25" s="34"/>
      <c r="J25" s="34"/>
      <c r="K25" s="34"/>
      <c r="L25" s="34"/>
      <c r="M25" s="34"/>
      <c r="N25" s="34"/>
      <c r="O25" s="34"/>
      <c r="P25" s="34"/>
      <c r="Q25" s="34"/>
      <c r="R25" s="34"/>
      <c r="S25" s="34"/>
      <c r="T25" s="34"/>
      <c r="U25" s="34"/>
      <c r="V25" s="34"/>
      <c r="W25" s="34"/>
      <c r="X25" s="34"/>
      <c r="Y25" s="34"/>
      <c r="Z25" s="34"/>
      <c r="AA25" s="34"/>
      <c r="AB25" s="34"/>
      <c r="AC25" s="34"/>
      <c r="AD25" s="34"/>
      <c r="AE25" s="34"/>
      <c r="AF25" s="34"/>
      <c r="AG25" s="34"/>
      <c r="AH25" s="34"/>
      <c r="AI25" s="34"/>
      <c r="AJ25" s="34"/>
    </row>
    <row r="26" spans="1:36" s="29" customFormat="1" ht="30" customHeight="1" thickBot="1" x14ac:dyDescent="0.25">
      <c r="A26" s="4"/>
      <c r="B26" s="59" t="s">
        <v>12</v>
      </c>
      <c r="C26" s="60"/>
      <c r="D26" s="61"/>
      <c r="E26" s="62"/>
      <c r="F26" s="63"/>
      <c r="G26" s="6"/>
      <c r="H26" s="3" t="str">
        <f t="shared" si="2"/>
        <v/>
      </c>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64"/>
      <c r="AH26" s="64"/>
      <c r="AI26" s="64"/>
      <c r="AJ26" s="64"/>
    </row>
    <row r="27" spans="1:36" s="29" customFormat="1" ht="30" customHeight="1" thickBot="1" x14ac:dyDescent="0.25">
      <c r="A27" s="4"/>
      <c r="B27" s="65" t="s">
        <v>33</v>
      </c>
      <c r="C27" s="66" t="s">
        <v>45</v>
      </c>
      <c r="D27" s="67">
        <v>1</v>
      </c>
      <c r="E27" s="68">
        <v>46063</v>
      </c>
      <c r="F27" s="68">
        <f>E27+3</f>
        <v>46066</v>
      </c>
      <c r="G27" s="6"/>
      <c r="H27" s="3">
        <f t="shared" si="2"/>
        <v>4</v>
      </c>
      <c r="I27" s="34"/>
      <c r="J27" s="34"/>
      <c r="K27" s="34"/>
      <c r="L27" s="34"/>
      <c r="M27" s="34"/>
      <c r="N27" s="34"/>
      <c r="O27" s="34"/>
      <c r="P27" s="34"/>
      <c r="Q27" s="34"/>
      <c r="R27" s="34"/>
      <c r="S27" s="34"/>
      <c r="T27" s="34"/>
      <c r="U27" s="34"/>
      <c r="V27" s="34"/>
      <c r="W27" s="34"/>
      <c r="X27" s="34"/>
      <c r="Y27" s="34"/>
      <c r="Z27" s="34"/>
      <c r="AA27" s="34"/>
      <c r="AB27" s="34"/>
      <c r="AC27" s="34"/>
      <c r="AD27" s="34"/>
      <c r="AE27" s="34"/>
      <c r="AF27" s="34"/>
      <c r="AG27" s="34"/>
      <c r="AH27" s="34"/>
      <c r="AI27" s="34"/>
      <c r="AJ27" s="34"/>
    </row>
    <row r="28" spans="1:36" s="29" customFormat="1" ht="30" customHeight="1" thickBot="1" x14ac:dyDescent="0.25">
      <c r="A28" s="4"/>
      <c r="B28" s="65" t="s">
        <v>35</v>
      </c>
      <c r="C28" s="66" t="s">
        <v>46</v>
      </c>
      <c r="D28" s="67">
        <v>1</v>
      </c>
      <c r="E28" s="68">
        <f>F27</f>
        <v>46066</v>
      </c>
      <c r="F28" s="68">
        <f>E28+3</f>
        <v>46069</v>
      </c>
      <c r="G28" s="6"/>
      <c r="H28" s="3">
        <f t="shared" si="2"/>
        <v>4</v>
      </c>
      <c r="I28" s="34"/>
      <c r="J28" s="34"/>
      <c r="K28" s="34"/>
      <c r="L28" s="34"/>
      <c r="M28" s="34"/>
      <c r="N28" s="34"/>
      <c r="O28" s="34"/>
      <c r="P28" s="34"/>
      <c r="Q28" s="34"/>
      <c r="R28" s="34"/>
      <c r="S28" s="34"/>
      <c r="T28" s="34"/>
      <c r="U28" s="34"/>
      <c r="V28" s="34"/>
      <c r="W28" s="34"/>
      <c r="X28" s="34"/>
      <c r="Y28" s="34"/>
      <c r="Z28" s="34"/>
      <c r="AA28" s="34"/>
      <c r="AB28" s="34"/>
      <c r="AC28" s="34"/>
      <c r="AD28" s="34"/>
      <c r="AE28" s="34"/>
      <c r="AF28" s="34"/>
      <c r="AG28" s="34"/>
      <c r="AH28" s="34"/>
      <c r="AI28" s="34"/>
      <c r="AJ28" s="34"/>
    </row>
    <row r="29" spans="1:36" s="29" customFormat="1" ht="30" customHeight="1" thickBot="1" x14ac:dyDescent="0.25">
      <c r="A29" s="4"/>
      <c r="B29" s="65" t="s">
        <v>34</v>
      </c>
      <c r="C29" s="66" t="s">
        <v>47</v>
      </c>
      <c r="D29" s="67">
        <v>1</v>
      </c>
      <c r="E29" s="68">
        <f>F28</f>
        <v>46069</v>
      </c>
      <c r="F29" s="68">
        <f>E29+3</f>
        <v>46072</v>
      </c>
      <c r="G29" s="6"/>
      <c r="H29" s="3">
        <f t="shared" si="2"/>
        <v>4</v>
      </c>
      <c r="I29" s="34"/>
      <c r="J29" s="34"/>
      <c r="K29" s="34"/>
      <c r="L29" s="34"/>
      <c r="M29" s="34"/>
      <c r="N29" s="34"/>
      <c r="O29" s="34"/>
      <c r="P29" s="34"/>
      <c r="Q29" s="34"/>
      <c r="R29" s="34"/>
      <c r="S29" s="34"/>
      <c r="T29" s="34"/>
      <c r="U29" s="34"/>
      <c r="V29" s="34"/>
      <c r="W29" s="34"/>
      <c r="X29" s="34"/>
      <c r="Y29" s="34"/>
      <c r="Z29" s="34"/>
      <c r="AA29" s="34"/>
      <c r="AB29" s="34"/>
      <c r="AC29" s="34"/>
      <c r="AD29" s="34"/>
      <c r="AE29" s="34"/>
      <c r="AF29" s="34"/>
      <c r="AG29" s="34"/>
      <c r="AH29" s="34"/>
      <c r="AI29" s="34"/>
      <c r="AJ29" s="34"/>
    </row>
    <row r="30" spans="1:36" s="29" customFormat="1" ht="30" customHeight="1" thickBot="1" x14ac:dyDescent="0.25">
      <c r="A30" s="4"/>
      <c r="B30" s="65" t="s">
        <v>36</v>
      </c>
      <c r="C30" s="66" t="s">
        <v>48</v>
      </c>
      <c r="D30" s="67">
        <v>1</v>
      </c>
      <c r="E30" s="68">
        <f>F29</f>
        <v>46072</v>
      </c>
      <c r="F30" s="68">
        <f>E30+3</f>
        <v>46075</v>
      </c>
      <c r="G30" s="6"/>
      <c r="H30" s="3">
        <f t="shared" si="2"/>
        <v>4</v>
      </c>
      <c r="I30" s="34"/>
      <c r="J30" s="34"/>
      <c r="K30" s="34"/>
      <c r="L30" s="34"/>
      <c r="M30" s="34"/>
      <c r="N30" s="34"/>
      <c r="O30" s="34"/>
      <c r="P30" s="34"/>
      <c r="Q30" s="34"/>
      <c r="R30" s="34"/>
      <c r="S30" s="34"/>
      <c r="T30" s="34"/>
      <c r="U30" s="34"/>
      <c r="V30" s="34"/>
      <c r="W30" s="34"/>
      <c r="X30" s="34"/>
      <c r="Y30" s="34"/>
      <c r="Z30" s="34"/>
      <c r="AA30" s="34"/>
      <c r="AB30" s="34"/>
      <c r="AC30" s="34"/>
      <c r="AD30" s="34"/>
      <c r="AE30" s="34"/>
      <c r="AF30" s="34"/>
      <c r="AG30" s="34"/>
      <c r="AH30" s="34"/>
      <c r="AI30" s="34"/>
      <c r="AJ30" s="34"/>
    </row>
    <row r="31" spans="1:36" s="29" customFormat="1" ht="30" customHeight="1" thickBot="1" x14ac:dyDescent="0.25">
      <c r="A31" s="4"/>
      <c r="B31" s="65" t="s">
        <v>37</v>
      </c>
      <c r="C31" s="66" t="s">
        <v>20</v>
      </c>
      <c r="D31" s="67">
        <v>0</v>
      </c>
      <c r="E31" s="68">
        <v>46075</v>
      </c>
      <c r="F31" s="68">
        <v>46077</v>
      </c>
      <c r="G31" s="6"/>
      <c r="H31" s="3">
        <f t="shared" si="2"/>
        <v>3</v>
      </c>
      <c r="I31" s="34"/>
      <c r="J31" s="34"/>
      <c r="K31" s="34"/>
      <c r="L31" s="34"/>
      <c r="M31" s="34"/>
      <c r="N31" s="34"/>
      <c r="O31" s="34"/>
      <c r="P31" s="34"/>
      <c r="Q31" s="34"/>
      <c r="R31" s="34"/>
      <c r="S31" s="34"/>
      <c r="T31" s="34"/>
      <c r="U31" s="34"/>
      <c r="V31" s="34"/>
      <c r="W31" s="34"/>
      <c r="X31" s="34"/>
      <c r="Y31" s="34"/>
      <c r="Z31" s="34"/>
      <c r="AA31" s="34"/>
      <c r="AB31" s="34"/>
      <c r="AC31" s="34"/>
      <c r="AD31" s="34"/>
      <c r="AE31" s="34"/>
      <c r="AF31" s="34"/>
      <c r="AG31" s="34"/>
      <c r="AH31" s="34"/>
      <c r="AI31" s="34"/>
      <c r="AJ31" s="34"/>
    </row>
    <row r="32" spans="1:36" s="29" customFormat="1" ht="30" customHeight="1" thickBot="1" x14ac:dyDescent="0.25">
      <c r="A32" s="4"/>
      <c r="B32" s="23" t="s">
        <v>13</v>
      </c>
      <c r="C32" s="24"/>
      <c r="D32" s="25"/>
      <c r="E32" s="26"/>
      <c r="F32" s="27"/>
      <c r="G32" s="6"/>
      <c r="H32" s="3" t="str">
        <f t="shared" si="2"/>
        <v/>
      </c>
      <c r="I32" s="28"/>
      <c r="J32" s="28"/>
      <c r="K32" s="28"/>
      <c r="L32" s="28"/>
      <c r="M32" s="28"/>
      <c r="N32" s="28"/>
      <c r="O32" s="28"/>
      <c r="P32" s="28"/>
      <c r="Q32" s="28"/>
      <c r="R32" s="28"/>
      <c r="S32" s="28"/>
      <c r="T32" s="28"/>
      <c r="U32" s="28"/>
      <c r="V32" s="28"/>
      <c r="W32" s="28"/>
      <c r="X32" s="28"/>
      <c r="Y32" s="28"/>
      <c r="Z32" s="28"/>
      <c r="AA32" s="28"/>
      <c r="AB32" s="28"/>
      <c r="AC32" s="28"/>
      <c r="AD32" s="28"/>
      <c r="AE32" s="28"/>
      <c r="AF32" s="28"/>
      <c r="AG32" s="28"/>
      <c r="AH32" s="28"/>
      <c r="AI32" s="28"/>
      <c r="AJ32" s="28"/>
    </row>
    <row r="33" spans="1:37" s="29" customFormat="1" ht="30" customHeight="1" thickBot="1" x14ac:dyDescent="0.25">
      <c r="A33" s="5"/>
      <c r="B33" s="30" t="s">
        <v>27</v>
      </c>
      <c r="C33" s="31" t="s">
        <v>48</v>
      </c>
      <c r="D33" s="32">
        <v>1</v>
      </c>
      <c r="E33" s="33">
        <v>46059</v>
      </c>
      <c r="F33" s="33">
        <f>E33+7</f>
        <v>46066</v>
      </c>
      <c r="G33" s="6"/>
      <c r="H33" s="3">
        <f t="shared" si="2"/>
        <v>8</v>
      </c>
      <c r="I33" s="34"/>
      <c r="J33" s="34"/>
      <c r="K33" s="34"/>
      <c r="L33" s="34"/>
      <c r="M33" s="34"/>
      <c r="N33" s="34"/>
      <c r="O33" s="34"/>
      <c r="P33" s="34"/>
      <c r="Q33" s="34"/>
      <c r="R33" s="34"/>
      <c r="S33" s="34"/>
      <c r="T33" s="34"/>
      <c r="U33" s="34"/>
      <c r="V33" s="34"/>
      <c r="W33" s="34"/>
      <c r="X33" s="34"/>
      <c r="Y33" s="34"/>
      <c r="Z33" s="34"/>
      <c r="AA33" s="34"/>
      <c r="AB33" s="34"/>
      <c r="AC33" s="34"/>
      <c r="AD33" s="34"/>
      <c r="AE33" s="34"/>
      <c r="AF33" s="34"/>
      <c r="AG33" s="34"/>
      <c r="AH33" s="34"/>
      <c r="AI33" s="34"/>
      <c r="AJ33" s="34"/>
    </row>
    <row r="34" spans="1:37" ht="30" customHeight="1" thickBot="1" x14ac:dyDescent="0.25">
      <c r="B34" s="35" t="s">
        <v>28</v>
      </c>
      <c r="C34" s="36" t="s">
        <v>46</v>
      </c>
      <c r="D34" s="37">
        <v>0</v>
      </c>
      <c r="E34" s="38">
        <f>F33</f>
        <v>46066</v>
      </c>
      <c r="F34" s="38">
        <f>E34+7</f>
        <v>46073</v>
      </c>
      <c r="G34" s="6"/>
      <c r="H34" s="3"/>
      <c r="I34" s="34"/>
      <c r="J34" s="34"/>
      <c r="K34" s="34"/>
      <c r="L34" s="34"/>
      <c r="M34" s="34"/>
      <c r="N34" s="34"/>
      <c r="O34" s="34"/>
      <c r="P34" s="34"/>
      <c r="Q34" s="34"/>
      <c r="R34" s="34"/>
      <c r="S34" s="34"/>
      <c r="T34" s="34"/>
      <c r="U34" s="39"/>
      <c r="V34" s="39"/>
      <c r="W34" s="34"/>
      <c r="X34" s="34"/>
      <c r="Y34" s="34"/>
      <c r="Z34" s="34"/>
      <c r="AA34" s="34"/>
      <c r="AB34" s="34"/>
      <c r="AC34" s="34"/>
      <c r="AD34" s="34"/>
      <c r="AE34" s="34"/>
      <c r="AF34" s="34"/>
      <c r="AG34" s="34"/>
      <c r="AH34" s="34"/>
      <c r="AI34" s="34"/>
      <c r="AJ34" s="34"/>
    </row>
    <row r="35" spans="1:37" ht="30" customHeight="1" thickBot="1" x14ac:dyDescent="0.25">
      <c r="B35" s="35" t="s">
        <v>29</v>
      </c>
      <c r="C35" s="36" t="s">
        <v>47</v>
      </c>
      <c r="D35" s="37">
        <v>0</v>
      </c>
      <c r="E35" s="38">
        <v>46073</v>
      </c>
      <c r="F35" s="38">
        <v>46077</v>
      </c>
      <c r="G35" s="6"/>
      <c r="H35" s="3"/>
      <c r="I35" s="34"/>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row>
    <row r="36" spans="1:37" ht="30" customHeight="1" thickBot="1" x14ac:dyDescent="0.25">
      <c r="B36" s="35" t="s">
        <v>30</v>
      </c>
      <c r="C36" s="36" t="s">
        <v>45</v>
      </c>
      <c r="D36" s="37">
        <v>0</v>
      </c>
      <c r="E36" s="38">
        <v>46073</v>
      </c>
      <c r="F36" s="38">
        <v>46077</v>
      </c>
      <c r="G36" s="6"/>
      <c r="H36" s="3"/>
      <c r="I36" s="34"/>
      <c r="J36" s="34"/>
      <c r="K36" s="34"/>
      <c r="L36" s="34"/>
      <c r="M36" s="34"/>
      <c r="N36" s="34"/>
      <c r="O36" s="34"/>
      <c r="P36" s="34"/>
      <c r="Q36" s="34"/>
      <c r="R36" s="34"/>
      <c r="S36" s="34"/>
      <c r="T36" s="34"/>
      <c r="U36" s="34"/>
      <c r="V36" s="34"/>
      <c r="W36" s="34"/>
      <c r="X36" s="34"/>
      <c r="Y36" s="39"/>
      <c r="Z36" s="34"/>
      <c r="AA36" s="34"/>
      <c r="AB36" s="34"/>
      <c r="AC36" s="34"/>
      <c r="AD36" s="34"/>
      <c r="AE36" s="34"/>
      <c r="AF36" s="34"/>
      <c r="AG36" s="34"/>
      <c r="AH36" s="34"/>
      <c r="AI36" s="34"/>
      <c r="AJ36" s="34"/>
    </row>
    <row r="37" spans="1:37" ht="30" customHeight="1" thickBot="1" x14ac:dyDescent="0.25">
      <c r="B37" s="35" t="s">
        <v>31</v>
      </c>
      <c r="C37" s="36" t="s">
        <v>20</v>
      </c>
      <c r="D37" s="37">
        <v>0</v>
      </c>
      <c r="E37" s="38">
        <v>46074</v>
      </c>
      <c r="F37" s="38">
        <v>46077</v>
      </c>
      <c r="G37" s="6"/>
      <c r="H37" s="3"/>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row>
    <row r="38" spans="1:37" ht="30" customHeight="1" thickBot="1" x14ac:dyDescent="0.25">
      <c r="B38" s="40" t="s">
        <v>14</v>
      </c>
      <c r="C38" s="41"/>
      <c r="D38" s="42"/>
      <c r="E38" s="43"/>
      <c r="F38" s="44"/>
      <c r="G38" s="6"/>
      <c r="H38" s="3" t="str">
        <f t="shared" ref="H38:H39" si="3">IF(OR(ISBLANK(task_start),ISBLANK(task_end)),"",task_end-task_start+1)</f>
        <v/>
      </c>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row>
    <row r="39" spans="1:37" ht="30" customHeight="1" thickBot="1" x14ac:dyDescent="0.25">
      <c r="B39" s="45" t="s">
        <v>27</v>
      </c>
      <c r="C39" s="46" t="s">
        <v>48</v>
      </c>
      <c r="D39" s="47">
        <v>1</v>
      </c>
      <c r="E39" s="48">
        <v>46062</v>
      </c>
      <c r="F39" s="48">
        <f>F33</f>
        <v>46066</v>
      </c>
      <c r="G39" s="6"/>
      <c r="H39" s="3">
        <f t="shared" si="3"/>
        <v>5</v>
      </c>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29"/>
    </row>
    <row r="40" spans="1:37" ht="30" customHeight="1" thickBot="1" x14ac:dyDescent="0.25">
      <c r="B40" s="45" t="s">
        <v>28</v>
      </c>
      <c r="C40" s="46" t="s">
        <v>46</v>
      </c>
      <c r="D40" s="47">
        <v>0</v>
      </c>
      <c r="E40" s="48">
        <f t="shared" ref="E40:F40" si="4">E34</f>
        <v>46066</v>
      </c>
      <c r="F40" s="48">
        <f t="shared" si="4"/>
        <v>46073</v>
      </c>
      <c r="G40" s="6"/>
      <c r="H40" s="3"/>
      <c r="I40" s="34"/>
      <c r="J40" s="34"/>
      <c r="K40" s="34"/>
      <c r="L40" s="34"/>
      <c r="M40" s="34"/>
      <c r="N40" s="34"/>
      <c r="O40" s="34"/>
      <c r="P40" s="34"/>
      <c r="Q40" s="34"/>
      <c r="R40" s="34"/>
      <c r="S40" s="34"/>
      <c r="T40" s="34"/>
      <c r="U40" s="39"/>
      <c r="V40" s="39"/>
      <c r="W40" s="34"/>
      <c r="X40" s="34"/>
      <c r="Y40" s="34"/>
      <c r="Z40" s="34"/>
      <c r="AA40" s="34"/>
      <c r="AB40" s="34"/>
      <c r="AC40" s="34"/>
      <c r="AD40" s="34"/>
      <c r="AE40" s="34"/>
      <c r="AF40" s="34"/>
      <c r="AG40" s="34"/>
      <c r="AH40" s="34"/>
      <c r="AI40" s="34"/>
      <c r="AJ40" s="34"/>
    </row>
    <row r="41" spans="1:37" ht="30" customHeight="1" thickBot="1" x14ac:dyDescent="0.25">
      <c r="B41" s="45" t="s">
        <v>29</v>
      </c>
      <c r="C41" s="46" t="s">
        <v>47</v>
      </c>
      <c r="D41" s="47">
        <v>0</v>
      </c>
      <c r="E41" s="48">
        <f t="shared" ref="E41:F41" si="5">E35</f>
        <v>46073</v>
      </c>
      <c r="F41" s="48">
        <f t="shared" si="5"/>
        <v>46077</v>
      </c>
      <c r="G41" s="6"/>
      <c r="H41" s="3"/>
      <c r="I41" s="34"/>
      <c r="J41" s="34"/>
      <c r="K41" s="34"/>
      <c r="L41" s="34"/>
      <c r="M41" s="34"/>
      <c r="N41" s="34"/>
      <c r="O41" s="34"/>
      <c r="P41" s="34"/>
      <c r="Q41" s="34"/>
      <c r="R41" s="34"/>
      <c r="S41" s="34"/>
      <c r="T41" s="34"/>
      <c r="U41" s="39"/>
      <c r="V41" s="39"/>
      <c r="W41" s="34"/>
      <c r="X41" s="34"/>
      <c r="Y41" s="34"/>
      <c r="Z41" s="34"/>
      <c r="AA41" s="34"/>
      <c r="AB41" s="34"/>
      <c r="AC41" s="34"/>
      <c r="AD41" s="34"/>
      <c r="AE41" s="34"/>
      <c r="AF41" s="34"/>
      <c r="AG41" s="34"/>
      <c r="AH41" s="34"/>
      <c r="AI41" s="34"/>
      <c r="AJ41" s="34"/>
    </row>
    <row r="42" spans="1:37" ht="30" customHeight="1" thickBot="1" x14ac:dyDescent="0.25">
      <c r="B42" s="45" t="s">
        <v>30</v>
      </c>
      <c r="C42" s="46" t="s">
        <v>45</v>
      </c>
      <c r="D42" s="47">
        <v>0</v>
      </c>
      <c r="E42" s="48">
        <f t="shared" ref="E42:F42" si="6">E36</f>
        <v>46073</v>
      </c>
      <c r="F42" s="48">
        <f t="shared" si="6"/>
        <v>46077</v>
      </c>
      <c r="G42" s="6"/>
      <c r="H42" s="3"/>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row>
    <row r="43" spans="1:37" ht="30" customHeight="1" thickBot="1" x14ac:dyDescent="0.25">
      <c r="B43" s="45" t="s">
        <v>31</v>
      </c>
      <c r="C43" s="46" t="s">
        <v>20</v>
      </c>
      <c r="D43" s="47">
        <v>0</v>
      </c>
      <c r="E43" s="48">
        <f t="shared" ref="E43:F43" si="7">E37</f>
        <v>46074</v>
      </c>
      <c r="F43" s="48">
        <f t="shared" si="7"/>
        <v>46077</v>
      </c>
      <c r="G43" s="6"/>
      <c r="H43" s="3"/>
      <c r="I43" s="34"/>
      <c r="J43" s="34"/>
      <c r="K43" s="34"/>
      <c r="L43" s="34"/>
      <c r="M43" s="34"/>
      <c r="N43" s="34"/>
      <c r="O43" s="34"/>
      <c r="P43" s="34"/>
      <c r="Q43" s="34"/>
      <c r="R43" s="34"/>
      <c r="S43" s="34"/>
      <c r="T43" s="34"/>
      <c r="U43" s="34"/>
      <c r="V43" s="34"/>
      <c r="W43" s="34"/>
      <c r="X43" s="34"/>
      <c r="Y43" s="39"/>
      <c r="Z43" s="34"/>
      <c r="AA43" s="34"/>
      <c r="AB43" s="34"/>
      <c r="AC43" s="34"/>
      <c r="AD43" s="34"/>
      <c r="AE43" s="34"/>
      <c r="AF43" s="34"/>
      <c r="AG43" s="34"/>
      <c r="AH43" s="34"/>
      <c r="AI43" s="34"/>
      <c r="AJ43" s="34"/>
    </row>
    <row r="44" spans="1:37" ht="30" customHeight="1" thickBot="1" x14ac:dyDescent="0.25">
      <c r="B44" s="49" t="s">
        <v>15</v>
      </c>
      <c r="C44" s="50"/>
      <c r="D44" s="51"/>
      <c r="E44" s="52"/>
      <c r="F44" s="53"/>
      <c r="G44" s="6"/>
      <c r="H44" s="3" t="str">
        <f t="shared" ref="H44:H45" si="8">IF(OR(ISBLANK(task_start),ISBLANK(task_end)),"",task_end-task_start+1)</f>
        <v/>
      </c>
      <c r="I44" s="54"/>
      <c r="J44" s="54"/>
      <c r="K44" s="54"/>
      <c r="L44" s="54"/>
      <c r="M44" s="54"/>
      <c r="N44" s="54"/>
      <c r="O44" s="54"/>
      <c r="P44" s="54"/>
      <c r="Q44" s="54"/>
      <c r="R44" s="54"/>
      <c r="S44" s="54"/>
      <c r="T44" s="54"/>
      <c r="U44" s="54"/>
      <c r="V44" s="54"/>
      <c r="W44" s="54"/>
      <c r="X44" s="54"/>
      <c r="Y44" s="54"/>
      <c r="Z44" s="54"/>
      <c r="AA44" s="54"/>
      <c r="AB44" s="54"/>
      <c r="AC44" s="54"/>
      <c r="AD44" s="54"/>
      <c r="AE44" s="54"/>
      <c r="AF44" s="54"/>
      <c r="AG44" s="54"/>
      <c r="AH44" s="54"/>
      <c r="AI44" s="54"/>
      <c r="AJ44" s="54"/>
      <c r="AK44" s="29"/>
    </row>
    <row r="45" spans="1:37" ht="30" customHeight="1" thickBot="1" x14ac:dyDescent="0.25">
      <c r="B45" s="55" t="s">
        <v>32</v>
      </c>
      <c r="C45" s="56" t="s">
        <v>45</v>
      </c>
      <c r="D45" s="57">
        <v>0</v>
      </c>
      <c r="E45" s="58">
        <f>E33+2</f>
        <v>46061</v>
      </c>
      <c r="F45" s="58">
        <f>E45+3</f>
        <v>46064</v>
      </c>
      <c r="G45" s="6"/>
      <c r="H45" s="3">
        <f t="shared" si="8"/>
        <v>4</v>
      </c>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29"/>
    </row>
    <row r="46" spans="1:37" ht="30" customHeight="1" thickBot="1" x14ac:dyDescent="0.25">
      <c r="B46" s="55" t="s">
        <v>38</v>
      </c>
      <c r="C46" s="56" t="s">
        <v>46</v>
      </c>
      <c r="D46" s="57">
        <v>0</v>
      </c>
      <c r="E46" s="58">
        <f>F45</f>
        <v>46064</v>
      </c>
      <c r="F46" s="58">
        <f>E46+8</f>
        <v>46072</v>
      </c>
      <c r="G46" s="6"/>
      <c r="H46" s="3"/>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row>
    <row r="47" spans="1:37" ht="30" customHeight="1" thickBot="1" x14ac:dyDescent="0.25">
      <c r="B47" s="55" t="s">
        <v>24</v>
      </c>
      <c r="C47" s="56" t="s">
        <v>20</v>
      </c>
      <c r="D47" s="57">
        <v>0</v>
      </c>
      <c r="E47" s="58">
        <v>46072</v>
      </c>
      <c r="F47" s="58">
        <v>46077</v>
      </c>
      <c r="G47" s="6"/>
      <c r="H47" s="3"/>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row>
    <row r="48" spans="1:37" ht="30" customHeight="1" thickBot="1" x14ac:dyDescent="0.25">
      <c r="B48" s="55" t="s">
        <v>23</v>
      </c>
      <c r="C48" s="56" t="s">
        <v>45</v>
      </c>
      <c r="D48" s="57">
        <v>0</v>
      </c>
      <c r="E48" s="58">
        <v>46073</v>
      </c>
      <c r="F48" s="58">
        <v>46077</v>
      </c>
      <c r="G48" s="6"/>
      <c r="H48" s="3"/>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row>
  </sheetData>
  <mergeCells count="15">
    <mergeCell ref="A5:A6"/>
    <mergeCell ref="B5:B6"/>
    <mergeCell ref="C5:C6"/>
    <mergeCell ref="D5:D6"/>
    <mergeCell ref="E5:E6"/>
    <mergeCell ref="AD4:AJ4"/>
    <mergeCell ref="F5:F6"/>
    <mergeCell ref="Q2:Z2"/>
    <mergeCell ref="Q1:Z1"/>
    <mergeCell ref="I1:O1"/>
    <mergeCell ref="I2:O2"/>
    <mergeCell ref="B2:F3"/>
    <mergeCell ref="I4:O4"/>
    <mergeCell ref="P4:V4"/>
    <mergeCell ref="W4:AC4"/>
  </mergeCells>
  <conditionalFormatting sqref="D7:D48">
    <cfRule type="dataBar" priority="47">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4:AI48">
    <cfRule type="expression" dxfId="26" priority="25">
      <formula>AND(TODAY()&gt;=I$5, TODAY()&lt;J$5)</formula>
    </cfRule>
  </conditionalFormatting>
  <conditionalFormatting sqref="I9:AI13">
    <cfRule type="expression" dxfId="25" priority="31" stopIfTrue="1">
      <formula>AND(task_end&gt;=I$5,task_start&lt;J$5)</formula>
    </cfRule>
  </conditionalFormatting>
  <conditionalFormatting sqref="I15:AI20">
    <cfRule type="expression" dxfId="24" priority="29" stopIfTrue="1">
      <formula>AND(task_end&gt;=I$5,task_start&lt;J$5)</formula>
    </cfRule>
  </conditionalFormatting>
  <conditionalFormatting sqref="I22:AI25">
    <cfRule type="expression" dxfId="23" priority="27" stopIfTrue="1">
      <formula>AND(task_end&gt;=I$5,task_start&lt;J$5)</formula>
    </cfRule>
  </conditionalFormatting>
  <conditionalFormatting sqref="I27:AI31">
    <cfRule type="expression" dxfId="22" priority="60">
      <formula>AND(task_start&lt;=I$5,ROUNDDOWN((task_end-task_start+1)*task_progress,0)+task_start-1&gt;=I$5)</formula>
    </cfRule>
    <cfRule type="expression" dxfId="21" priority="61" stopIfTrue="1">
      <formula>AND(task_end&gt;=I$5,task_start&lt;J$5)</formula>
    </cfRule>
  </conditionalFormatting>
  <conditionalFormatting sqref="I33:AI37">
    <cfRule type="expression" dxfId="20" priority="8" stopIfTrue="1">
      <formula>AND(task_end&gt;=I$5,task_start&lt;J$5)</formula>
    </cfRule>
  </conditionalFormatting>
  <conditionalFormatting sqref="I39:AI43">
    <cfRule type="expression" dxfId="19" priority="5" stopIfTrue="1">
      <formula>AND(task_end&gt;=I$5,task_start&lt;J$5)</formula>
    </cfRule>
  </conditionalFormatting>
  <conditionalFormatting sqref="I45:AI48">
    <cfRule type="expression" dxfId="18" priority="2" stopIfTrue="1">
      <formula>AND(task_end&gt;=I$5,task_start&lt;J$5)</formula>
    </cfRule>
  </conditionalFormatting>
  <conditionalFormatting sqref="I9:AJ13">
    <cfRule type="expression" dxfId="17" priority="30">
      <formula>AND(task_start&lt;=I$5,ROUNDDOWN((task_end-task_start+1)*task_progress,0)+task_start-1&gt;=I$5)</formula>
    </cfRule>
  </conditionalFormatting>
  <conditionalFormatting sqref="I15:AJ20">
    <cfRule type="expression" dxfId="16" priority="28">
      <formula>AND(task_start&lt;=I$5,ROUNDDOWN((task_end-task_start+1)*task_progress,0)+task_start-1&gt;=I$5)</formula>
    </cfRule>
  </conditionalFormatting>
  <conditionalFormatting sqref="I22:AJ25">
    <cfRule type="expression" dxfId="15" priority="26">
      <formula>AND(task_start&lt;=I$5,ROUNDDOWN((task_end-task_start+1)*task_progress,0)+task_start-1&gt;=I$5)</formula>
    </cfRule>
  </conditionalFormatting>
  <conditionalFormatting sqref="I33:AJ37">
    <cfRule type="expression" dxfId="14" priority="7">
      <formula>AND(task_start&lt;=I$5,ROUNDDOWN((task_end-task_start+1)*task_progress,0)+task_start-1&gt;=I$5)</formula>
    </cfRule>
  </conditionalFormatting>
  <conditionalFormatting sqref="I39:AJ43">
    <cfRule type="expression" dxfId="13" priority="4">
      <formula>AND(task_start&lt;=I$5,ROUNDDOWN((task_end-task_start+1)*task_progress,0)+task_start-1&gt;=I$5)</formula>
    </cfRule>
  </conditionalFormatting>
  <conditionalFormatting sqref="I45:AJ48">
    <cfRule type="expression" dxfId="12" priority="1">
      <formula>AND(task_start&lt;=I$5,ROUNDDOWN((task_end-task_start+1)*task_progress,0)+task_start-1&gt;=I$5)</formula>
    </cfRule>
  </conditionalFormatting>
  <conditionalFormatting sqref="AJ4:AJ48">
    <cfRule type="expression" dxfId="11" priority="63">
      <formula>AND(TODAY()&gt;=AJ$5, TODAY()&lt;#REF!)</formula>
    </cfRule>
  </conditionalFormatting>
  <conditionalFormatting sqref="AJ9:AJ13">
    <cfRule type="expression" dxfId="10" priority="67" stopIfTrue="1">
      <formula>AND(task_end&gt;=AJ$5,task_start&lt;#REF!)</formula>
    </cfRule>
  </conditionalFormatting>
  <conditionalFormatting sqref="AJ15:AJ20">
    <cfRule type="expression" dxfId="9" priority="71" stopIfTrue="1">
      <formula>AND(task_end&gt;=AJ$5,task_start&lt;#REF!)</formula>
    </cfRule>
  </conditionalFormatting>
  <conditionalFormatting sqref="AJ22:AJ25">
    <cfRule type="expression" dxfId="8" priority="75" stopIfTrue="1">
      <formula>AND(task_end&gt;=AJ$5,task_start&lt;#REF!)</formula>
    </cfRule>
  </conditionalFormatting>
  <conditionalFormatting sqref="AJ27:AJ31">
    <cfRule type="expression" dxfId="7" priority="78">
      <formula>AND(task_start&lt;=AJ$5,ROUNDDOWN((task_end-task_start+1)*task_progress,0)+task_start-1&gt;=AJ$5)</formula>
    </cfRule>
    <cfRule type="expression" dxfId="6" priority="79" stopIfTrue="1">
      <formula>AND(task_end&gt;=AJ$5,task_start&lt;#REF!)</formula>
    </cfRule>
  </conditionalFormatting>
  <conditionalFormatting sqref="AJ33:AJ37">
    <cfRule type="expression" dxfId="5" priority="9" stopIfTrue="1">
      <formula>AND(task_end&gt;=AJ$5,task_start&lt;#REF!)</formula>
    </cfRule>
  </conditionalFormatting>
  <conditionalFormatting sqref="AJ39:AJ43">
    <cfRule type="expression" dxfId="4" priority="6" stopIfTrue="1">
      <formula>AND(task_end&gt;=AJ$5,task_start&lt;#REF!)</formula>
    </cfRule>
  </conditionalFormatting>
  <conditionalFormatting sqref="AJ45:AJ48">
    <cfRule type="expression" dxfId="3" priority="3" stopIfTrue="1">
      <formula>AND(task_end&gt;=AJ$5,task_start&lt;#REF!)</formula>
    </cfRule>
  </conditionalFormatting>
  <dataValidations disablePrompts="1"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1" xr:uid="{956902D1-D3B5-416D-BB69-9362D193BC0A}"/>
    <dataValidation allowBlank="1" showInputMessage="1" showErrorMessage="1" prompt="Phase 4's sample block starts in cell B26." sqref="A26"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33"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D7:D48</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2.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Project schedule</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Kaycie Lane</dc:creator>
  <cp:keywords/>
  <dc:description/>
  <cp:lastModifiedBy>Jacob Oetken</cp:lastModifiedBy>
  <cp:revision/>
  <dcterms:created xsi:type="dcterms:W3CDTF">2022-03-11T22:41:12Z</dcterms:created>
  <dcterms:modified xsi:type="dcterms:W3CDTF">2026-02-12T00:59:24Z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