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d.docs.live.net/7cbf3353e9af97e5/Desktop/SP2026/CODES/PROJECT 2/Project 2 Submissions/"/>
    </mc:Choice>
  </mc:AlternateContent>
  <xr:revisionPtr revIDLastSave="286" documentId="8_{2D0532B1-89FC-4489-A866-D32F74691416}" xr6:coauthVersionLast="47" xr6:coauthVersionMax="47" xr10:uidLastSave="{95485570-881C-4FAF-8162-D26DC688A51B}"/>
  <bookViews>
    <workbookView xWindow="-120" yWindow="-120" windowWidth="29040" windowHeight="1572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1" l="1"/>
  <c r="E28" i="11" s="1"/>
  <c r="F28" i="11" s="1"/>
  <c r="E29" i="11" s="1"/>
  <c r="F29" i="11" s="1"/>
  <c r="E30" i="11" s="1"/>
  <c r="F30" i="11" s="1"/>
  <c r="E41" i="11"/>
  <c r="F41" i="11"/>
  <c r="E42" i="11"/>
  <c r="F42" i="11"/>
  <c r="E43" i="11"/>
  <c r="F43" i="11"/>
  <c r="F33" i="11"/>
  <c r="F39" i="11" s="1"/>
  <c r="H44" i="11"/>
  <c r="H38" i="11"/>
  <c r="H7" i="11"/>
  <c r="E45" i="11" l="1"/>
  <c r="F9" i="11"/>
  <c r="I5" i="11"/>
  <c r="H32" i="11"/>
  <c r="H26" i="11"/>
  <c r="H21" i="11"/>
  <c r="H14" i="11"/>
  <c r="H8" i="11"/>
  <c r="F45" i="11" l="1"/>
  <c r="E46" i="11" s="1"/>
  <c r="F46" i="11" s="1"/>
  <c r="H22" i="11"/>
  <c r="H23" i="11"/>
  <c r="H9" i="11"/>
  <c r="I6" i="11"/>
  <c r="H45" i="11" l="1"/>
  <c r="E34" i="11"/>
  <c r="E40" i="11" s="1"/>
  <c r="H33" i="11"/>
  <c r="H10" i="11"/>
  <c r="H24" i="11"/>
  <c r="H13" i="11"/>
  <c r="J5" i="11"/>
  <c r="K5" i="11" s="1"/>
  <c r="L5" i="11" s="1"/>
  <c r="M5" i="11" s="1"/>
  <c r="N5" i="11" s="1"/>
  <c r="O5" i="11" s="1"/>
  <c r="P5" i="11" s="1"/>
  <c r="I4" i="11"/>
  <c r="F34" i="11" l="1"/>
  <c r="F40" i="11" s="1"/>
  <c r="H15" i="11"/>
  <c r="H25" i="11"/>
  <c r="H16" i="11"/>
  <c r="H11" i="11"/>
  <c r="H12" i="11"/>
  <c r="P4" i="11"/>
  <c r="Q5" i="11"/>
  <c r="R5" i="11" s="1"/>
  <c r="S5" i="11" s="1"/>
  <c r="T5" i="11" s="1"/>
  <c r="U5" i="11" s="1"/>
  <c r="V5" i="11" s="1"/>
  <c r="W5" i="11" s="1"/>
  <c r="J6" i="11"/>
  <c r="H39" i="11" l="1"/>
  <c r="H31" i="11"/>
  <c r="H20" i="11"/>
  <c r="H19" i="11"/>
  <c r="H18" i="11"/>
  <c r="W4" i="11"/>
  <c r="X5" i="11"/>
  <c r="Y5" i="11" s="1"/>
  <c r="Z5" i="11" s="1"/>
  <c r="AA5" i="11" s="1"/>
  <c r="AB5" i="11" s="1"/>
  <c r="AC5" i="11" s="1"/>
  <c r="AD5" i="11" s="1"/>
  <c r="K6" i="11"/>
  <c r="H27" i="11" l="1"/>
  <c r="H30" i="11"/>
  <c r="AE5" i="11"/>
  <c r="AF5" i="11" s="1"/>
  <c r="AG5" i="11" s="1"/>
  <c r="AH5" i="11" s="1"/>
  <c r="AI5" i="11" s="1"/>
  <c r="AJ5" i="11" s="1"/>
  <c r="AD4" i="11"/>
  <c r="L6" i="11"/>
  <c r="H28" i="11" l="1"/>
  <c r="H29" i="11"/>
  <c r="M6" i="11"/>
  <c r="N6" i="11" l="1"/>
  <c r="O6" i="11" l="1"/>
  <c r="P6" i="11" l="1"/>
  <c r="Q6" i="11"/>
  <c r="R6" i="11" l="1"/>
  <c r="S6" i="11" l="1"/>
  <c r="T6" i="11" l="1"/>
  <c r="U6" i="11" l="1"/>
  <c r="V6" i="11" l="1"/>
  <c r="W6" i="11" l="1"/>
  <c r="X6" i="11" l="1"/>
  <c r="Y6" i="11" l="1"/>
  <c r="Z6" i="11" l="1"/>
  <c r="AA6" i="11" l="1"/>
  <c r="AB6" i="11" l="1"/>
  <c r="AC6" i="11" l="1"/>
  <c r="AD6" i="11" l="1"/>
  <c r="AE6" i="11" l="1"/>
  <c r="AF6" i="11" l="1"/>
  <c r="AG6" i="11" l="1"/>
  <c r="AH6" i="11" l="1"/>
  <c r="AI6" i="11" l="1"/>
  <c r="AJ6" i="11" l="1"/>
</calcChain>
</file>

<file path=xl/sharedStrings.xml><?xml version="1.0" encoding="utf-8"?>
<sst xmlns="http://schemas.openxmlformats.org/spreadsheetml/2006/main" count="91" uniqueCount="55">
  <si>
    <t>CIVE 202 Project #2</t>
  </si>
  <si>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</si>
  <si>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</si>
  <si>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</si>
  <si>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</si>
  <si>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</si>
  <si>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</si>
  <si>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</si>
  <si>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</si>
  <si>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Github Repository</t>
  </si>
  <si>
    <t>Scope of Work</t>
  </si>
  <si>
    <t>Gantt Chart</t>
  </si>
  <si>
    <t>Mix Scenarios Research</t>
  </si>
  <si>
    <t>Python Code</t>
  </si>
  <si>
    <t>Annotated Code Document</t>
  </si>
  <si>
    <t>Written Report</t>
  </si>
  <si>
    <t>Jacob Oetken, Abbas Bashir, Anicet Atikpohou, Michael Albracht</t>
  </si>
  <si>
    <t>Identify Tasks</t>
  </si>
  <si>
    <t>Create Gantt Chart</t>
  </si>
  <si>
    <t>Turn in Gantt Chart</t>
  </si>
  <si>
    <t>ALL</t>
  </si>
  <si>
    <t>Create Github</t>
  </si>
  <si>
    <t>Create README Document</t>
  </si>
  <si>
    <t>Submit</t>
  </si>
  <si>
    <t>Review</t>
  </si>
  <si>
    <t>Create SOW</t>
  </si>
  <si>
    <t>Submit SOW</t>
  </si>
  <si>
    <t>LAB 1 Material</t>
  </si>
  <si>
    <t>LAB 2 Material</t>
  </si>
  <si>
    <t>LAB 3 Material</t>
  </si>
  <si>
    <t>Combine/Polish</t>
  </si>
  <si>
    <t>Review and Submit</t>
  </si>
  <si>
    <t>Analyze Outputs</t>
  </si>
  <si>
    <t>Research Mix 1</t>
  </si>
  <si>
    <t>Research Mix 3</t>
  </si>
  <si>
    <t>Research Mix 2</t>
  </si>
  <si>
    <t>Research Mix 4</t>
  </si>
  <si>
    <t>Discuss/Apply To Report</t>
  </si>
  <si>
    <t>Create Document to Standards</t>
  </si>
  <si>
    <t>Combine information/Files</t>
  </si>
  <si>
    <t>Upload All Files to Github</t>
  </si>
  <si>
    <t>Task 1-2</t>
  </si>
  <si>
    <t>Task 2-4</t>
  </si>
  <si>
    <t>Abbas/Jacob</t>
  </si>
  <si>
    <t>Anicet/Michael</t>
  </si>
  <si>
    <t>Jacob</t>
  </si>
  <si>
    <t>Abbas</t>
  </si>
  <si>
    <t>Anicet</t>
  </si>
  <si>
    <t>Michael</t>
  </si>
  <si>
    <t>Right Symbol is Dependent Upon Left Symbol</t>
  </si>
  <si>
    <t>ANNOTATED CD</t>
  </si>
  <si>
    <t>CODE DOCUMENT</t>
  </si>
  <si>
    <t>GITHUB REPO</t>
  </si>
  <si>
    <t>FINAL REPORT</t>
  </si>
  <si>
    <t>DEPENDENCIES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</si>
</sst>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b/>
      <sz val="11"/>
      <color theme="1"/>
      <name val="Arial"/>
      <family val="2"/>
      <scheme val="minor"/>
    </font>
    <font>
      <sz val="22"/>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3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8">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13" fillId="12" borderId="19" xfId="0" applyNumberFormat="1" applyFont="1" applyFill="1" applyBorder="1" applyAlignment="1">
      <alignment horizontal="center" vertical="center"/>
    </xf>
    <xf numFmtId="167" fontId="13" fillId="12" borderId="17" xfId="0" applyNumberFormat="1" applyFont="1" applyFill="1" applyBorder="1" applyAlignment="1">
      <alignment horizontal="center" vertical="center"/>
    </xf>
    <xf numFmtId="167" fontId="13" fillId="12" borderId="18" xfId="0" applyNumberFormat="1" applyFont="1" applyFill="1" applyBorder="1" applyAlignment="1">
      <alignment horizontal="center" vertical="center"/>
    </xf>
    <xf numFmtId="0" fontId="14" fillId="2" borderId="16" xfId="0" applyFont="1" applyFill="1" applyBorder="1" applyAlignment="1">
      <alignment horizontal="center" vertical="center" shrinkToFit="1"/>
    </xf>
    <xf numFmtId="0" fontId="14" fillId="2" borderId="14" xfId="0" applyFont="1" applyFill="1" applyBorder="1" applyAlignment="1">
      <alignment horizontal="center" vertical="center" shrinkToFit="1"/>
    </xf>
    <xf numFmtId="0" fontId="11" fillId="0" borderId="0" xfId="0" applyFont="1"/>
    <xf numFmtId="0" fontId="11" fillId="0" borderId="0" xfId="0" applyFont="1" applyAlignment="1">
      <alignment wrapText="1"/>
    </xf>
    <xf numFmtId="0" fontId="4" fillId="0" borderId="3" xfId="0" applyFont="1" applyBorder="1" applyAlignment="1">
      <alignment vertical="center"/>
    </xf>
    <xf numFmtId="0" fontId="15" fillId="6" borderId="0" xfId="0" applyFont="1" applyFill="1" applyAlignment="1">
      <alignment horizontal="left" vertical="center" indent="1"/>
    </xf>
    <xf numFmtId="0" fontId="11" fillId="6" borderId="0" xfId="11" applyFont="1" applyFill="1" applyBorder="1" applyAlignment="1">
      <alignment vertical="center"/>
    </xf>
    <xf numFmtId="9" fontId="1" fillId="6" borderId="0" xfId="2" applyFont="1" applyFill="1" applyBorder="1" applyAlignment="1">
      <alignment horizontal="center" vertical="center"/>
    </xf>
    <xf numFmtId="164" fontId="11"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1" fillId="3" borderId="6" xfId="12" applyFont="1" applyFill="1" applyBorder="1">
      <alignment horizontal="left" vertical="center" indent="2"/>
    </xf>
    <xf numFmtId="0" fontId="11" fillId="3" borderId="6" xfId="11" applyFont="1" applyFill="1" applyBorder="1" applyAlignment="1">
      <alignment vertical="center"/>
    </xf>
    <xf numFmtId="9" fontId="1" fillId="3" borderId="6" xfId="2" applyFont="1" applyFill="1" applyBorder="1" applyAlignment="1">
      <alignment horizontal="center" vertical="center"/>
    </xf>
    <xf numFmtId="164" fontId="11" fillId="3" borderId="6" xfId="10" applyFont="1" applyFill="1" applyBorder="1">
      <alignment horizontal="center" vertical="center"/>
    </xf>
    <xf numFmtId="0" fontId="4" fillId="0" borderId="4" xfId="0" applyFont="1" applyBorder="1" applyAlignment="1">
      <alignment vertical="center"/>
    </xf>
    <xf numFmtId="0" fontId="11" fillId="3" borderId="7" xfId="12" applyFont="1" applyFill="1" applyBorder="1">
      <alignment horizontal="left" vertical="center" indent="2"/>
    </xf>
    <xf numFmtId="0" fontId="11" fillId="3" borderId="7" xfId="11" applyFont="1" applyFill="1" applyBorder="1" applyAlignment="1">
      <alignment vertical="center"/>
    </xf>
    <xf numFmtId="9" fontId="1" fillId="3" borderId="7" xfId="2" applyFont="1" applyFill="1" applyBorder="1" applyAlignment="1">
      <alignment horizontal="center" vertical="center"/>
    </xf>
    <xf numFmtId="164" fontId="11" fillId="3" borderId="7" xfId="10" applyFont="1" applyFill="1" applyBorder="1">
      <alignment horizontal="center" vertical="center"/>
    </xf>
    <xf numFmtId="0" fontId="4" fillId="0" borderId="4" xfId="0" applyFont="1" applyBorder="1" applyAlignment="1">
      <alignment horizontal="right" vertical="center"/>
    </xf>
    <xf numFmtId="0" fontId="15" fillId="7" borderId="0" xfId="0" applyFont="1" applyFill="1" applyAlignment="1">
      <alignment horizontal="left" vertical="center" indent="1"/>
    </xf>
    <xf numFmtId="0" fontId="11" fillId="7" borderId="0" xfId="11" applyFont="1" applyFill="1" applyBorder="1" applyAlignment="1">
      <alignment vertical="center"/>
    </xf>
    <xf numFmtId="9" fontId="1" fillId="7" borderId="0" xfId="2" applyFont="1" applyFill="1" applyBorder="1" applyAlignment="1">
      <alignment horizontal="center" vertical="center"/>
    </xf>
    <xf numFmtId="164" fontId="11"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1" fillId="4" borderId="5" xfId="12" applyFont="1" applyFill="1" applyBorder="1">
      <alignment horizontal="left" vertical="center" indent="2"/>
    </xf>
    <xf numFmtId="0" fontId="11" fillId="4" borderId="5" xfId="11" applyFont="1" applyFill="1" applyBorder="1" applyAlignment="1">
      <alignment vertical="center"/>
    </xf>
    <xf numFmtId="9" fontId="1" fillId="4" borderId="5" xfId="2" applyFont="1" applyFill="1" applyBorder="1" applyAlignment="1">
      <alignment horizontal="center" vertical="center"/>
    </xf>
    <xf numFmtId="164" fontId="11" fillId="4" borderId="5" xfId="10" applyFont="1" applyFill="1" applyBorder="1">
      <alignment horizontal="center" vertical="center"/>
    </xf>
    <xf numFmtId="0" fontId="15" fillId="8" borderId="0" xfId="0" applyFont="1" applyFill="1" applyAlignment="1">
      <alignment horizontal="left" vertical="center" indent="1"/>
    </xf>
    <xf numFmtId="0" fontId="11" fillId="8" borderId="0" xfId="11" applyFont="1" applyFill="1" applyBorder="1" applyAlignment="1">
      <alignment vertical="center"/>
    </xf>
    <xf numFmtId="9" fontId="1" fillId="8" borderId="0" xfId="2" applyFont="1" applyFill="1" applyBorder="1" applyAlignment="1">
      <alignment horizontal="center" vertical="center"/>
    </xf>
    <xf numFmtId="164" fontId="11"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1" fillId="5" borderId="8" xfId="12" applyFont="1" applyFill="1" applyBorder="1">
      <alignment horizontal="left" vertical="center" indent="2"/>
    </xf>
    <xf numFmtId="0" fontId="11" fillId="5" borderId="8" xfId="11" applyFont="1" applyFill="1" applyBorder="1" applyAlignment="1">
      <alignment vertical="center"/>
    </xf>
    <xf numFmtId="9" fontId="1" fillId="5" borderId="8" xfId="2" applyFont="1" applyFill="1" applyBorder="1" applyAlignment="1">
      <alignment horizontal="center" vertical="center"/>
    </xf>
    <xf numFmtId="164" fontId="11" fillId="5" borderId="8" xfId="10" applyFont="1" applyFill="1" applyBorder="1">
      <alignment horizontal="center" vertical="center"/>
    </xf>
    <xf numFmtId="0" fontId="15" fillId="9" borderId="0" xfId="0" applyFont="1" applyFill="1" applyAlignment="1">
      <alignment horizontal="left" vertical="center" indent="1"/>
    </xf>
    <xf numFmtId="0" fontId="11" fillId="9" borderId="0" xfId="11" applyFont="1" applyFill="1" applyBorder="1" applyAlignment="1">
      <alignment vertical="center"/>
    </xf>
    <xf numFmtId="9" fontId="1" fillId="9" borderId="0" xfId="2" applyFont="1" applyFill="1" applyBorder="1" applyAlignment="1">
      <alignment horizontal="center" vertical="center"/>
    </xf>
    <xf numFmtId="164" fontId="11"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1" fillId="10" borderId="9" xfId="12" applyFont="1" applyFill="1" applyBorder="1">
      <alignment horizontal="left" vertical="center" indent="2"/>
    </xf>
    <xf numFmtId="0" fontId="11" fillId="10" borderId="9" xfId="11" applyFont="1" applyFill="1" applyBorder="1" applyAlignment="1">
      <alignment vertical="center"/>
    </xf>
    <xf numFmtId="9" fontId="1" fillId="10" borderId="9" xfId="2" applyFont="1" applyFill="1" applyBorder="1" applyAlignment="1">
      <alignment horizontal="center" vertical="center"/>
    </xf>
    <xf numFmtId="164" fontId="11" fillId="10" borderId="9" xfId="10" applyFont="1" applyFill="1" applyBorder="1">
      <alignment horizontal="center" vertical="center"/>
    </xf>
    <xf numFmtId="0" fontId="19" fillId="0" borderId="0" xfId="5" applyFont="1" applyAlignment="1">
      <alignment horizontal="left" vertical="center"/>
    </xf>
    <xf numFmtId="0" fontId="0" fillId="0" borderId="21" xfId="0" applyBorder="1"/>
    <xf numFmtId="0" fontId="4" fillId="0" borderId="21" xfId="0" applyFont="1" applyBorder="1"/>
    <xf numFmtId="0" fontId="4" fillId="0" borderId="21" xfId="0" applyFont="1" applyBorder="1" applyAlignment="1">
      <alignment vertical="center"/>
    </xf>
    <xf numFmtId="0" fontId="0" fillId="0" borderId="23" xfId="0" applyBorder="1"/>
    <xf numFmtId="0" fontId="0" fillId="0" borderId="24" xfId="0" applyBorder="1"/>
    <xf numFmtId="0" fontId="0" fillId="0" borderId="25" xfId="0" applyBorder="1"/>
    <xf numFmtId="0" fontId="4" fillId="0" borderId="23" xfId="0" applyFont="1" applyBorder="1"/>
    <xf numFmtId="0" fontId="4" fillId="0" borderId="24" xfId="0" applyFont="1" applyBorder="1"/>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7" xfId="0" applyFont="1" applyBorder="1" applyAlignment="1">
      <alignment vertical="center"/>
    </xf>
    <xf numFmtId="0" fontId="4" fillId="0" borderId="30" xfId="0" applyFont="1" applyBorder="1" applyAlignment="1">
      <alignment vertical="center"/>
    </xf>
    <xf numFmtId="0" fontId="4" fillId="0" borderId="26" xfId="0" applyFont="1" applyBorder="1" applyAlignment="1">
      <alignment vertical="center"/>
    </xf>
    <xf numFmtId="0" fontId="4" fillId="0" borderId="22" xfId="0" applyFont="1" applyBorder="1" applyAlignment="1">
      <alignment vertical="center"/>
    </xf>
    <xf numFmtId="0" fontId="0" fillId="0" borderId="30" xfId="0" applyBorder="1"/>
    <xf numFmtId="0" fontId="0" fillId="0" borderId="31" xfId="0" applyBorder="1"/>
    <xf numFmtId="0" fontId="4" fillId="0" borderId="32" xfId="0" applyFont="1" applyBorder="1" applyAlignment="1">
      <alignment vertical="center"/>
    </xf>
    <xf numFmtId="0" fontId="4" fillId="0" borderId="31" xfId="0" applyFont="1" applyBorder="1" applyAlignment="1">
      <alignment vertical="center"/>
    </xf>
    <xf numFmtId="0" fontId="7" fillId="0" borderId="0" xfId="3" applyAlignment="1">
      <alignment wrapText="1"/>
    </xf>
    <xf numFmtId="0" fontId="12"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2" fillId="11" borderId="15" xfId="0" applyFont="1" applyFill="1" applyBorder="1" applyAlignment="1">
      <alignment vertical="center"/>
    </xf>
    <xf numFmtId="0" fontId="4" fillId="2" borderId="20" xfId="0" applyFont="1" applyFill="1" applyBorder="1"/>
    <xf numFmtId="0" fontId="12" fillId="11" borderId="15" xfId="0" applyFont="1" applyFill="1" applyBorder="1" applyAlignment="1">
      <alignment horizontal="center" vertical="center"/>
    </xf>
    <xf numFmtId="166" fontId="11" fillId="2" borderId="13" xfId="0" applyNumberFormat="1" applyFont="1" applyFill="1" applyBorder="1" applyAlignment="1">
      <alignment horizontal="center" vertical="center" wrapText="1"/>
    </xf>
    <xf numFmtId="0" fontId="17" fillId="0" borderId="0" xfId="0" applyFont="1" applyAlignment="1">
      <alignment horizontal="left"/>
    </xf>
    <xf numFmtId="0" fontId="18" fillId="0" borderId="0" xfId="0" applyFont="1"/>
    <xf numFmtId="165" fontId="17" fillId="0" borderId="0" xfId="9" applyFont="1" applyBorder="1" applyAlignment="1">
      <alignment horizontal="left"/>
    </xf>
    <xf numFmtId="0" fontId="16" fillId="0" borderId="0" xfId="8" applyFont="1" applyAlignment="1">
      <alignment horizontal="left"/>
    </xf>
    <xf numFmtId="0" fontId="4" fillId="0" borderId="0" xfId="0" applyFont="1"/>
    <xf numFmtId="0" fontId="16" fillId="0" borderId="0" xfId="6" applyFont="1" applyAlignment="1">
      <alignment horizontal="center" vertical="center"/>
    </xf>
    <xf numFmtId="166" fontId="11" fillId="2" borderId="17" xfId="0" applyNumberFormat="1" applyFont="1" applyFill="1" applyBorder="1" applyAlignment="1">
      <alignment horizontal="center" vertical="center" wrapText="1"/>
    </xf>
    <xf numFmtId="0" fontId="21" fillId="0" borderId="26" xfId="0" applyFont="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20" fillId="0" borderId="29" xfId="0" applyFont="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3">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2"/>
      <tableStyleElement type="headerRow" dxfId="31"/>
      <tableStyleElement type="totalRow" dxfId="30"/>
      <tableStyleElement type="firstColumn" dxfId="29"/>
      <tableStyleElement type="lastColumn" dxfId="28"/>
      <tableStyleElement type="firstRowStripe" dxfId="27"/>
      <tableStyleElement type="secondRowStripe" dxfId="26"/>
      <tableStyleElement type="firstColumnStripe" dxfId="25"/>
      <tableStyleElement type="secondColumnStripe" dxfId="2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6600"/>
      <color rgb="FFFFCBA7"/>
      <color rgb="FFFFCCB3"/>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37</xdr:col>
      <xdr:colOff>42714</xdr:colOff>
      <xdr:row>33</xdr:row>
      <xdr:rowOff>100694</xdr:rowOff>
    </xdr:from>
    <xdr:to>
      <xdr:col>38</xdr:col>
      <xdr:colOff>303971</xdr:colOff>
      <xdr:row>35</xdr:row>
      <xdr:rowOff>253094</xdr:rowOff>
    </xdr:to>
    <xdr:sp macro="" textlink="">
      <xdr:nvSpPr>
        <xdr:cNvPr id="11" name="Rectangle 10">
          <a:extLst>
            <a:ext uri="{FF2B5EF4-FFF2-40B4-BE49-F238E27FC236}">
              <a16:creationId xmlns:a16="http://schemas.microsoft.com/office/drawing/2014/main" id="{93B8DC93-C773-4805-BD28-9F5052343CF8}"/>
            </a:ext>
          </a:extLst>
        </xdr:cNvPr>
        <xdr:cNvSpPr/>
      </xdr:nvSpPr>
      <xdr:spPr>
        <a:xfrm>
          <a:off x="17411344" y="12673694"/>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40704</xdr:colOff>
      <xdr:row>39</xdr:row>
      <xdr:rowOff>129446</xdr:rowOff>
    </xdr:from>
    <xdr:to>
      <xdr:col>38</xdr:col>
      <xdr:colOff>301961</xdr:colOff>
      <xdr:row>41</xdr:row>
      <xdr:rowOff>281846</xdr:rowOff>
    </xdr:to>
    <xdr:sp macro="" textlink="">
      <xdr:nvSpPr>
        <xdr:cNvPr id="12" name="Rectangle 11">
          <a:extLst>
            <a:ext uri="{FF2B5EF4-FFF2-40B4-BE49-F238E27FC236}">
              <a16:creationId xmlns:a16="http://schemas.microsoft.com/office/drawing/2014/main" id="{A1EF7D5E-C705-4080-B555-BDE5D285CCAE}"/>
            </a:ext>
          </a:extLst>
        </xdr:cNvPr>
        <xdr:cNvSpPr/>
      </xdr:nvSpPr>
      <xdr:spPr>
        <a:xfrm>
          <a:off x="17409334" y="14988446"/>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45554</xdr:colOff>
      <xdr:row>27</xdr:row>
      <xdr:rowOff>38455</xdr:rowOff>
    </xdr:from>
    <xdr:to>
      <xdr:col>38</xdr:col>
      <xdr:colOff>306811</xdr:colOff>
      <xdr:row>29</xdr:row>
      <xdr:rowOff>190855</xdr:rowOff>
    </xdr:to>
    <xdr:sp macro="" textlink="">
      <xdr:nvSpPr>
        <xdr:cNvPr id="13" name="Rectangle 12">
          <a:extLst>
            <a:ext uri="{FF2B5EF4-FFF2-40B4-BE49-F238E27FC236}">
              <a16:creationId xmlns:a16="http://schemas.microsoft.com/office/drawing/2014/main" id="{DE2522DF-523B-48DD-8566-C9382A879A67}"/>
            </a:ext>
          </a:extLst>
        </xdr:cNvPr>
        <xdr:cNvSpPr/>
      </xdr:nvSpPr>
      <xdr:spPr>
        <a:xfrm>
          <a:off x="17414184" y="10325455"/>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367392</xdr:colOff>
      <xdr:row>0</xdr:row>
      <xdr:rowOff>1006928</xdr:rowOff>
    </xdr:from>
    <xdr:to>
      <xdr:col>38</xdr:col>
      <xdr:colOff>628649</xdr:colOff>
      <xdr:row>3</xdr:row>
      <xdr:rowOff>16328</xdr:rowOff>
    </xdr:to>
    <xdr:sp macro="" textlink="">
      <xdr:nvSpPr>
        <xdr:cNvPr id="14" name="Rectangle 13">
          <a:extLst>
            <a:ext uri="{FF2B5EF4-FFF2-40B4-BE49-F238E27FC236}">
              <a16:creationId xmlns:a16="http://schemas.microsoft.com/office/drawing/2014/main" id="{A1820181-174C-4807-BB66-A79ED6B0CA2D}"/>
            </a:ext>
          </a:extLst>
        </xdr:cNvPr>
        <xdr:cNvSpPr/>
      </xdr:nvSpPr>
      <xdr:spPr>
        <a:xfrm>
          <a:off x="17702892" y="1006928"/>
          <a:ext cx="914400" cy="805543"/>
        </a:xfrm>
        <a:prstGeom prst="rect">
          <a:avLst/>
        </a:prstGeom>
        <a:no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_</a:t>
          </a:r>
        </a:p>
      </xdr:txBody>
    </xdr:sp>
    <xdr:clientData/>
  </xdr:twoCellAnchor>
  <xdr:twoCellAnchor>
    <xdr:from>
      <xdr:col>43</xdr:col>
      <xdr:colOff>2722</xdr:colOff>
      <xdr:row>0</xdr:row>
      <xdr:rowOff>1009650</xdr:rowOff>
    </xdr:from>
    <xdr:to>
      <xdr:col>44</xdr:col>
      <xdr:colOff>263979</xdr:colOff>
      <xdr:row>3</xdr:row>
      <xdr:rowOff>19050</xdr:rowOff>
    </xdr:to>
    <xdr:sp macro="" textlink="">
      <xdr:nvSpPr>
        <xdr:cNvPr id="15" name="Rectangle 14">
          <a:extLst>
            <a:ext uri="{FF2B5EF4-FFF2-40B4-BE49-F238E27FC236}">
              <a16:creationId xmlns:a16="http://schemas.microsoft.com/office/drawing/2014/main" id="{50A06F88-64D8-4200-A2B4-AC765CD3003B}"/>
            </a:ext>
          </a:extLst>
        </xdr:cNvPr>
        <xdr:cNvSpPr/>
      </xdr:nvSpPr>
      <xdr:spPr>
        <a:xfrm>
          <a:off x="21257079" y="1009650"/>
          <a:ext cx="914400" cy="805543"/>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_</a:t>
          </a:r>
        </a:p>
      </xdr:txBody>
    </xdr:sp>
    <xdr:clientData/>
  </xdr:twoCellAnchor>
  <xdr:twoCellAnchor>
    <xdr:from>
      <xdr:col>37</xdr:col>
      <xdr:colOff>42952</xdr:colOff>
      <xdr:row>9</xdr:row>
      <xdr:rowOff>40584</xdr:rowOff>
    </xdr:from>
    <xdr:to>
      <xdr:col>38</xdr:col>
      <xdr:colOff>304209</xdr:colOff>
      <xdr:row>11</xdr:row>
      <xdr:rowOff>192984</xdr:rowOff>
    </xdr:to>
    <xdr:sp macro="" textlink="">
      <xdr:nvSpPr>
        <xdr:cNvPr id="16" name="Rectangle 15">
          <a:extLst>
            <a:ext uri="{FF2B5EF4-FFF2-40B4-BE49-F238E27FC236}">
              <a16:creationId xmlns:a16="http://schemas.microsoft.com/office/drawing/2014/main" id="{C4F1C564-AE10-4D92-88F5-2FD03A8FB528}"/>
            </a:ext>
          </a:extLst>
        </xdr:cNvPr>
        <xdr:cNvSpPr/>
      </xdr:nvSpPr>
      <xdr:spPr>
        <a:xfrm>
          <a:off x="17411582" y="3469584"/>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43306</xdr:colOff>
      <xdr:row>15</xdr:row>
      <xdr:rowOff>356270</xdr:rowOff>
    </xdr:from>
    <xdr:to>
      <xdr:col>38</xdr:col>
      <xdr:colOff>304563</xdr:colOff>
      <xdr:row>18</xdr:row>
      <xdr:rowOff>127670</xdr:rowOff>
    </xdr:to>
    <xdr:sp macro="" textlink="">
      <xdr:nvSpPr>
        <xdr:cNvPr id="17" name="Rectangle 16">
          <a:extLst>
            <a:ext uri="{FF2B5EF4-FFF2-40B4-BE49-F238E27FC236}">
              <a16:creationId xmlns:a16="http://schemas.microsoft.com/office/drawing/2014/main" id="{6CE88AE6-A3B8-4251-B607-26716D8D22BE}"/>
            </a:ext>
          </a:extLst>
        </xdr:cNvPr>
        <xdr:cNvSpPr/>
      </xdr:nvSpPr>
      <xdr:spPr>
        <a:xfrm>
          <a:off x="17411936" y="6071270"/>
          <a:ext cx="915584" cy="914400"/>
        </a:xfrm>
        <a:prstGeom prst="rect">
          <a:avLst/>
        </a:prstGeom>
        <a:noFill/>
        <a:ln w="76200">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R</a:t>
          </a:r>
        </a:p>
      </xdr:txBody>
    </xdr:sp>
    <xdr:clientData/>
  </xdr:twoCellAnchor>
  <xdr:twoCellAnchor>
    <xdr:from>
      <xdr:col>37</xdr:col>
      <xdr:colOff>20114</xdr:colOff>
      <xdr:row>44</xdr:row>
      <xdr:rowOff>323613</xdr:rowOff>
    </xdr:from>
    <xdr:to>
      <xdr:col>38</xdr:col>
      <xdr:colOff>281371</xdr:colOff>
      <xdr:row>47</xdr:row>
      <xdr:rowOff>95013</xdr:rowOff>
    </xdr:to>
    <xdr:sp macro="" textlink="">
      <xdr:nvSpPr>
        <xdr:cNvPr id="18" name="Rectangle 17">
          <a:extLst>
            <a:ext uri="{FF2B5EF4-FFF2-40B4-BE49-F238E27FC236}">
              <a16:creationId xmlns:a16="http://schemas.microsoft.com/office/drawing/2014/main" id="{7548F2D4-C48B-4762-BE78-497F09C21B38}"/>
            </a:ext>
          </a:extLst>
        </xdr:cNvPr>
        <xdr:cNvSpPr/>
      </xdr:nvSpPr>
      <xdr:spPr>
        <a:xfrm>
          <a:off x="16974614" y="16973313"/>
          <a:ext cx="908957" cy="914400"/>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R</a:t>
          </a:r>
        </a:p>
      </xdr:txBody>
    </xdr:sp>
    <xdr:clientData/>
  </xdr:twoCellAnchor>
  <xdr:twoCellAnchor>
    <xdr:from>
      <xdr:col>39</xdr:col>
      <xdr:colOff>19050</xdr:colOff>
      <xdr:row>9</xdr:row>
      <xdr:rowOff>19050</xdr:rowOff>
    </xdr:from>
    <xdr:to>
      <xdr:col>40</xdr:col>
      <xdr:colOff>280307</xdr:colOff>
      <xdr:row>11</xdr:row>
      <xdr:rowOff>171450</xdr:rowOff>
    </xdr:to>
    <xdr:sp macro="" textlink="">
      <xdr:nvSpPr>
        <xdr:cNvPr id="19" name="Rectangle 18">
          <a:extLst>
            <a:ext uri="{FF2B5EF4-FFF2-40B4-BE49-F238E27FC236}">
              <a16:creationId xmlns:a16="http://schemas.microsoft.com/office/drawing/2014/main" id="{18D7912E-963E-4D49-BD01-CF9FD12CCE43}"/>
            </a:ext>
          </a:extLst>
        </xdr:cNvPr>
        <xdr:cNvSpPr/>
      </xdr:nvSpPr>
      <xdr:spPr>
        <a:xfrm>
          <a:off x="18660836" y="3448050"/>
          <a:ext cx="914400" cy="9144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G</a:t>
          </a:r>
        </a:p>
      </xdr:txBody>
    </xdr:sp>
    <xdr:clientData/>
  </xdr:twoCellAnchor>
  <xdr:twoCellAnchor>
    <xdr:from>
      <xdr:col>39</xdr:col>
      <xdr:colOff>57148</xdr:colOff>
      <xdr:row>27</xdr:row>
      <xdr:rowOff>43543</xdr:rowOff>
    </xdr:from>
    <xdr:to>
      <xdr:col>40</xdr:col>
      <xdr:colOff>318405</xdr:colOff>
      <xdr:row>29</xdr:row>
      <xdr:rowOff>195943</xdr:rowOff>
    </xdr:to>
    <xdr:sp macro="" textlink="">
      <xdr:nvSpPr>
        <xdr:cNvPr id="20" name="Rectangle 19">
          <a:extLst>
            <a:ext uri="{FF2B5EF4-FFF2-40B4-BE49-F238E27FC236}">
              <a16:creationId xmlns:a16="http://schemas.microsoft.com/office/drawing/2014/main" id="{61D0331E-635E-4BC5-9546-3FC155897FB4}"/>
            </a:ext>
          </a:extLst>
        </xdr:cNvPr>
        <xdr:cNvSpPr/>
      </xdr:nvSpPr>
      <xdr:spPr>
        <a:xfrm>
          <a:off x="18698934" y="10330543"/>
          <a:ext cx="914400" cy="9144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48630</xdr:colOff>
      <xdr:row>33</xdr:row>
      <xdr:rowOff>100694</xdr:rowOff>
    </xdr:from>
    <xdr:to>
      <xdr:col>40</xdr:col>
      <xdr:colOff>309887</xdr:colOff>
      <xdr:row>35</xdr:row>
      <xdr:rowOff>253094</xdr:rowOff>
    </xdr:to>
    <xdr:sp macro="" textlink="">
      <xdr:nvSpPr>
        <xdr:cNvPr id="21" name="Rectangle 20">
          <a:extLst>
            <a:ext uri="{FF2B5EF4-FFF2-40B4-BE49-F238E27FC236}">
              <a16:creationId xmlns:a16="http://schemas.microsoft.com/office/drawing/2014/main" id="{C59FCDE2-25A5-47E7-9AF1-66844F242733}"/>
            </a:ext>
          </a:extLst>
        </xdr:cNvPr>
        <xdr:cNvSpPr/>
      </xdr:nvSpPr>
      <xdr:spPr>
        <a:xfrm>
          <a:off x="18690416" y="12673694"/>
          <a:ext cx="914400" cy="9144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39</xdr:col>
      <xdr:colOff>60222</xdr:colOff>
      <xdr:row>39</xdr:row>
      <xdr:rowOff>129446</xdr:rowOff>
    </xdr:from>
    <xdr:to>
      <xdr:col>40</xdr:col>
      <xdr:colOff>321479</xdr:colOff>
      <xdr:row>41</xdr:row>
      <xdr:rowOff>281846</xdr:rowOff>
    </xdr:to>
    <xdr:sp macro="" textlink="">
      <xdr:nvSpPr>
        <xdr:cNvPr id="22" name="Rectangle 21">
          <a:extLst>
            <a:ext uri="{FF2B5EF4-FFF2-40B4-BE49-F238E27FC236}">
              <a16:creationId xmlns:a16="http://schemas.microsoft.com/office/drawing/2014/main" id="{F02A5153-E0C6-4886-A4A6-26E8D1E5B32F}"/>
            </a:ext>
          </a:extLst>
        </xdr:cNvPr>
        <xdr:cNvSpPr/>
      </xdr:nvSpPr>
      <xdr:spPr>
        <a:xfrm>
          <a:off x="18702008" y="14988446"/>
          <a:ext cx="914400" cy="914400"/>
        </a:xfrm>
        <a:prstGeom prst="rect">
          <a:avLst/>
        </a:prstGeom>
        <a:noFill/>
        <a:ln w="762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G</a:t>
          </a:r>
        </a:p>
      </xdr:txBody>
    </xdr:sp>
    <xdr:clientData/>
  </xdr:twoCellAnchor>
  <xdr:twoCellAnchor>
    <xdr:from>
      <xdr:col>41</xdr:col>
      <xdr:colOff>12423</xdr:colOff>
      <xdr:row>33</xdr:row>
      <xdr:rowOff>92292</xdr:rowOff>
    </xdr:from>
    <xdr:to>
      <xdr:col>42</xdr:col>
      <xdr:colOff>273680</xdr:colOff>
      <xdr:row>35</xdr:row>
      <xdr:rowOff>244692</xdr:rowOff>
    </xdr:to>
    <xdr:sp macro="" textlink="">
      <xdr:nvSpPr>
        <xdr:cNvPr id="25" name="Rectangle 24">
          <a:extLst>
            <a:ext uri="{FF2B5EF4-FFF2-40B4-BE49-F238E27FC236}">
              <a16:creationId xmlns:a16="http://schemas.microsoft.com/office/drawing/2014/main" id="{FACCE423-A8D6-4036-A588-D4C59337A65A}"/>
            </a:ext>
          </a:extLst>
        </xdr:cNvPr>
        <xdr:cNvSpPr/>
      </xdr:nvSpPr>
      <xdr:spPr>
        <a:xfrm>
          <a:off x="19960494" y="12665292"/>
          <a:ext cx="914400" cy="9144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C</a:t>
          </a:r>
        </a:p>
      </xdr:txBody>
    </xdr:sp>
    <xdr:clientData/>
  </xdr:twoCellAnchor>
  <xdr:twoCellAnchor>
    <xdr:from>
      <xdr:col>41</xdr:col>
      <xdr:colOff>54429</xdr:colOff>
      <xdr:row>27</xdr:row>
      <xdr:rowOff>40822</xdr:rowOff>
    </xdr:from>
    <xdr:to>
      <xdr:col>42</xdr:col>
      <xdr:colOff>315686</xdr:colOff>
      <xdr:row>29</xdr:row>
      <xdr:rowOff>193222</xdr:rowOff>
    </xdr:to>
    <xdr:sp macro="" textlink="">
      <xdr:nvSpPr>
        <xdr:cNvPr id="26" name="Rectangle 25">
          <a:extLst>
            <a:ext uri="{FF2B5EF4-FFF2-40B4-BE49-F238E27FC236}">
              <a16:creationId xmlns:a16="http://schemas.microsoft.com/office/drawing/2014/main" id="{4FB6B5D4-4747-4E1E-B52D-0C96C29731AE}"/>
            </a:ext>
          </a:extLst>
        </xdr:cNvPr>
        <xdr:cNvSpPr/>
      </xdr:nvSpPr>
      <xdr:spPr>
        <a:xfrm>
          <a:off x="20002500" y="10327822"/>
          <a:ext cx="914400" cy="914400"/>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43</xdr:col>
      <xdr:colOff>54429</xdr:colOff>
      <xdr:row>33</xdr:row>
      <xdr:rowOff>108857</xdr:rowOff>
    </xdr:from>
    <xdr:to>
      <xdr:col>44</xdr:col>
      <xdr:colOff>315686</xdr:colOff>
      <xdr:row>35</xdr:row>
      <xdr:rowOff>261257</xdr:rowOff>
    </xdr:to>
    <xdr:sp macro="" textlink="">
      <xdr:nvSpPr>
        <xdr:cNvPr id="27" name="Rectangle 26">
          <a:extLst>
            <a:ext uri="{FF2B5EF4-FFF2-40B4-BE49-F238E27FC236}">
              <a16:creationId xmlns:a16="http://schemas.microsoft.com/office/drawing/2014/main" id="{85856C19-71AF-4D4E-9A3A-E09D3D149AF1}"/>
            </a:ext>
          </a:extLst>
        </xdr:cNvPr>
        <xdr:cNvSpPr/>
      </xdr:nvSpPr>
      <xdr:spPr>
        <a:xfrm>
          <a:off x="21308786" y="12681857"/>
          <a:ext cx="914400" cy="914400"/>
        </a:xfrm>
        <a:prstGeom prst="rect">
          <a:avLst/>
        </a:prstGeom>
        <a:noFill/>
        <a:ln w="76200">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A</a:t>
          </a:r>
        </a:p>
      </xdr:txBody>
    </xdr:sp>
    <xdr:clientData/>
  </xdr:twoCellAnchor>
  <xdr:twoCellAnchor>
    <xdr:from>
      <xdr:col>41</xdr:col>
      <xdr:colOff>57145</xdr:colOff>
      <xdr:row>15</xdr:row>
      <xdr:rowOff>356508</xdr:rowOff>
    </xdr:from>
    <xdr:to>
      <xdr:col>42</xdr:col>
      <xdr:colOff>318402</xdr:colOff>
      <xdr:row>18</xdr:row>
      <xdr:rowOff>127908</xdr:rowOff>
    </xdr:to>
    <xdr:sp macro="" textlink="">
      <xdr:nvSpPr>
        <xdr:cNvPr id="28" name="Rectangle 27">
          <a:extLst>
            <a:ext uri="{FF2B5EF4-FFF2-40B4-BE49-F238E27FC236}">
              <a16:creationId xmlns:a16="http://schemas.microsoft.com/office/drawing/2014/main" id="{76645DDE-1825-4880-A930-57910852C360}"/>
            </a:ext>
          </a:extLst>
        </xdr:cNvPr>
        <xdr:cNvSpPr/>
      </xdr:nvSpPr>
      <xdr:spPr>
        <a:xfrm>
          <a:off x="20005216" y="6071508"/>
          <a:ext cx="914400" cy="914400"/>
        </a:xfrm>
        <a:prstGeom prst="rect">
          <a:avLst/>
        </a:prstGeom>
        <a:noFill/>
        <a:ln w="7620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solidFill>
                <a:schemeClr val="tx1"/>
              </a:solidFill>
            </a:rPr>
            <a:t>C</a:t>
          </a:r>
        </a:p>
      </xdr:txBody>
    </xdr:sp>
    <xdr:clientData/>
  </xdr:twoCellAnchor>
  <xdr:twoCellAnchor>
    <xdr:from>
      <xdr:col>43</xdr:col>
      <xdr:colOff>1537</xdr:colOff>
      <xdr:row>39</xdr:row>
      <xdr:rowOff>135835</xdr:rowOff>
    </xdr:from>
    <xdr:to>
      <xdr:col>44</xdr:col>
      <xdr:colOff>262794</xdr:colOff>
      <xdr:row>41</xdr:row>
      <xdr:rowOff>288235</xdr:rowOff>
    </xdr:to>
    <xdr:sp macro="" textlink="">
      <xdr:nvSpPr>
        <xdr:cNvPr id="29" name="Rectangle 28">
          <a:extLst>
            <a:ext uri="{FF2B5EF4-FFF2-40B4-BE49-F238E27FC236}">
              <a16:creationId xmlns:a16="http://schemas.microsoft.com/office/drawing/2014/main" id="{C1B718CA-6870-4E43-9E33-2D2AFB6C5641}"/>
            </a:ext>
          </a:extLst>
        </xdr:cNvPr>
        <xdr:cNvSpPr/>
      </xdr:nvSpPr>
      <xdr:spPr>
        <a:xfrm>
          <a:off x="21255894" y="14994835"/>
          <a:ext cx="914400" cy="9144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kern="1200"/>
            <a:t>A</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T48"/>
  <sheetViews>
    <sheetView showGridLines="0" tabSelected="1" showRuler="0" topLeftCell="A9" zoomScale="55" zoomScaleNormal="55" zoomScalePageLayoutView="70" workbookViewId="0">
      <selection activeCell="D14" sqref="D14"/>
    </sheetView>
  </sheetViews>
  <sheetFormatPr defaultColWidth="8.625" defaultRowHeight="30" customHeight="1" x14ac:dyDescent="0.2"/>
  <cols>
    <col min="1" max="1" width="2.625" style="4" customWidth="1"/>
    <col min="2" max="2" width="45.375" customWidth="1"/>
    <col min="3" max="3" width="12" bestFit="1" customWidth="1"/>
    <col min="4" max="4" width="10.625" customWidth="1"/>
    <col min="5" max="5" width="10.625" style="2" customWidth="1"/>
    <col min="6" max="6" width="10.625" customWidth="1"/>
    <col min="7" max="7" width="2.625" customWidth="1"/>
    <col min="8" max="8" width="6" hidden="1" customWidth="1"/>
    <col min="9" max="36" width="4.625" customWidth="1"/>
    <col min="37" max="37" width="2.625" customWidth="1"/>
  </cols>
  <sheetData>
    <row r="1" spans="1:46" ht="81.75" customHeight="1" x14ac:dyDescent="0.5">
      <c r="A1" s="5"/>
      <c r="B1" s="69" t="s">
        <v>0</v>
      </c>
      <c r="C1" s="7"/>
      <c r="D1" s="8"/>
      <c r="E1" s="9"/>
      <c r="F1" s="10"/>
      <c r="H1" s="1"/>
      <c r="I1" s="99" t="s">
        <v>1</v>
      </c>
      <c r="J1" s="100"/>
      <c r="K1" s="100"/>
      <c r="L1" s="100"/>
      <c r="M1" s="100"/>
      <c r="N1" s="100"/>
      <c r="O1" s="100"/>
      <c r="P1" s="11"/>
      <c r="Q1" s="98">
        <v>46059</v>
      </c>
      <c r="R1" s="97"/>
      <c r="S1" s="97"/>
      <c r="T1" s="97"/>
      <c r="U1" s="97"/>
      <c r="V1" s="97"/>
      <c r="W1" s="97"/>
      <c r="X1" s="97"/>
      <c r="Y1" s="97"/>
      <c r="Z1" s="97"/>
      <c r="AL1" s="103" t="s">
        <v>54</v>
      </c>
      <c r="AM1" s="104"/>
      <c r="AN1" s="104"/>
      <c r="AO1" s="104"/>
      <c r="AP1" s="104"/>
      <c r="AQ1" s="104"/>
      <c r="AR1" s="104"/>
      <c r="AS1" s="105"/>
      <c r="AT1" s="70"/>
    </row>
    <row r="2" spans="1:46" ht="30" customHeight="1" x14ac:dyDescent="0.5">
      <c r="B2" s="101" t="s">
        <v>16</v>
      </c>
      <c r="C2" s="101"/>
      <c r="D2" s="101"/>
      <c r="E2" s="101"/>
      <c r="F2" s="101"/>
      <c r="I2" s="99" t="s">
        <v>2</v>
      </c>
      <c r="J2" s="100"/>
      <c r="K2" s="100"/>
      <c r="L2" s="100"/>
      <c r="M2" s="100"/>
      <c r="N2" s="100"/>
      <c r="O2" s="100"/>
      <c r="P2" s="11"/>
      <c r="Q2" s="96">
        <v>1</v>
      </c>
      <c r="R2" s="97"/>
      <c r="S2" s="97"/>
      <c r="T2" s="97"/>
      <c r="U2" s="97"/>
      <c r="V2" s="97"/>
      <c r="W2" s="97"/>
      <c r="X2" s="97"/>
      <c r="Y2" s="97"/>
      <c r="Z2" s="97"/>
      <c r="AL2" s="70"/>
      <c r="AN2" s="106" t="s">
        <v>49</v>
      </c>
      <c r="AO2" s="106"/>
      <c r="AP2" s="106"/>
      <c r="AQ2" s="106"/>
      <c r="AR2" s="70"/>
      <c r="AT2" s="70"/>
    </row>
    <row r="3" spans="1:46" s="12" customFormat="1" ht="30" customHeight="1" x14ac:dyDescent="0.2">
      <c r="A3" s="4"/>
      <c r="B3" s="101"/>
      <c r="C3" s="101"/>
      <c r="D3" s="101"/>
      <c r="E3" s="101"/>
      <c r="F3" s="101"/>
      <c r="AL3" s="76"/>
      <c r="AN3" s="106"/>
      <c r="AO3" s="106"/>
      <c r="AP3" s="106"/>
      <c r="AQ3" s="106"/>
      <c r="AR3" s="71"/>
      <c r="AS3" s="77"/>
      <c r="AT3" s="71"/>
    </row>
    <row r="4" spans="1:46" s="12" customFormat="1" ht="30" customHeight="1" x14ac:dyDescent="0.2">
      <c r="A4" s="5"/>
      <c r="B4" s="13"/>
      <c r="E4" s="14"/>
      <c r="I4" s="102">
        <f>I5</f>
        <v>46055</v>
      </c>
      <c r="J4" s="95"/>
      <c r="K4" s="95"/>
      <c r="L4" s="95"/>
      <c r="M4" s="95"/>
      <c r="N4" s="95"/>
      <c r="O4" s="95"/>
      <c r="P4" s="95">
        <f>P5</f>
        <v>46062</v>
      </c>
      <c r="Q4" s="95"/>
      <c r="R4" s="95"/>
      <c r="S4" s="95"/>
      <c r="T4" s="95"/>
      <c r="U4" s="95"/>
      <c r="V4" s="95"/>
      <c r="W4" s="95">
        <f>W5</f>
        <v>46069</v>
      </c>
      <c r="X4" s="95"/>
      <c r="Y4" s="95"/>
      <c r="Z4" s="95"/>
      <c r="AA4" s="95"/>
      <c r="AB4" s="95"/>
      <c r="AC4" s="95"/>
      <c r="AD4" s="95">
        <f>AD5</f>
        <v>46076</v>
      </c>
      <c r="AE4" s="95"/>
      <c r="AF4" s="95"/>
      <c r="AG4" s="95"/>
      <c r="AH4" s="95"/>
      <c r="AI4" s="95"/>
      <c r="AJ4" s="95"/>
      <c r="AL4" s="71"/>
      <c r="AT4" s="71"/>
    </row>
    <row r="5" spans="1:46" s="12" customFormat="1" ht="15" customHeight="1" x14ac:dyDescent="0.2">
      <c r="A5" s="89"/>
      <c r="B5" s="90" t="s">
        <v>3</v>
      </c>
      <c r="C5" s="92" t="s">
        <v>4</v>
      </c>
      <c r="D5" s="94" t="s">
        <v>5</v>
      </c>
      <c r="E5" s="94" t="s">
        <v>6</v>
      </c>
      <c r="F5" s="94" t="s">
        <v>7</v>
      </c>
      <c r="I5" s="15">
        <f>Project_Start-WEEKDAY(Project_Start,1)+2+7*(Display_Week-1)</f>
        <v>46055</v>
      </c>
      <c r="J5" s="15">
        <f>I5+1</f>
        <v>46056</v>
      </c>
      <c r="K5" s="15">
        <f t="shared" ref="K5:AJ5" si="0">J5+1</f>
        <v>46057</v>
      </c>
      <c r="L5" s="15">
        <f t="shared" si="0"/>
        <v>46058</v>
      </c>
      <c r="M5" s="15">
        <f t="shared" si="0"/>
        <v>46059</v>
      </c>
      <c r="N5" s="15">
        <f t="shared" si="0"/>
        <v>46060</v>
      </c>
      <c r="O5" s="16">
        <f t="shared" si="0"/>
        <v>46061</v>
      </c>
      <c r="P5" s="17">
        <f>O5+1</f>
        <v>46062</v>
      </c>
      <c r="Q5" s="15">
        <f>P5+1</f>
        <v>46063</v>
      </c>
      <c r="R5" s="15">
        <f t="shared" si="0"/>
        <v>46064</v>
      </c>
      <c r="S5" s="15">
        <f t="shared" si="0"/>
        <v>46065</v>
      </c>
      <c r="T5" s="15">
        <f t="shared" si="0"/>
        <v>46066</v>
      </c>
      <c r="U5" s="15">
        <f t="shared" si="0"/>
        <v>46067</v>
      </c>
      <c r="V5" s="16">
        <f t="shared" si="0"/>
        <v>46068</v>
      </c>
      <c r="W5" s="17">
        <f>V5+1</f>
        <v>46069</v>
      </c>
      <c r="X5" s="15">
        <f>W5+1</f>
        <v>46070</v>
      </c>
      <c r="Y5" s="15">
        <f t="shared" si="0"/>
        <v>46071</v>
      </c>
      <c r="Z5" s="15">
        <f t="shared" si="0"/>
        <v>46072</v>
      </c>
      <c r="AA5" s="15">
        <f t="shared" si="0"/>
        <v>46073</v>
      </c>
      <c r="AB5" s="15">
        <f t="shared" si="0"/>
        <v>46074</v>
      </c>
      <c r="AC5" s="16">
        <f t="shared" si="0"/>
        <v>46075</v>
      </c>
      <c r="AD5" s="17">
        <f>AC5+1</f>
        <v>46076</v>
      </c>
      <c r="AE5" s="15">
        <f>AD5+1</f>
        <v>46077</v>
      </c>
      <c r="AF5" s="15">
        <f t="shared" si="0"/>
        <v>46078</v>
      </c>
      <c r="AG5" s="15">
        <f t="shared" si="0"/>
        <v>46079</v>
      </c>
      <c r="AH5" s="15">
        <f t="shared" si="0"/>
        <v>46080</v>
      </c>
      <c r="AI5" s="15">
        <f t="shared" si="0"/>
        <v>46081</v>
      </c>
      <c r="AJ5" s="16">
        <f t="shared" si="0"/>
        <v>46082</v>
      </c>
      <c r="AL5" s="71"/>
      <c r="AT5" s="71"/>
    </row>
    <row r="6" spans="1:46" s="12" customFormat="1" ht="15" customHeight="1" thickBot="1" x14ac:dyDescent="0.25">
      <c r="A6" s="89"/>
      <c r="B6" s="91"/>
      <c r="C6" s="93"/>
      <c r="D6" s="93"/>
      <c r="E6" s="93"/>
      <c r="F6" s="93"/>
      <c r="I6" s="18" t="str">
        <f t="shared" ref="I6:AJ6" si="1">LEFT(TEXT(I5,"ddd"),1)</f>
        <v>M</v>
      </c>
      <c r="J6" s="19" t="str">
        <f t="shared" si="1"/>
        <v>T</v>
      </c>
      <c r="K6" s="19" t="str">
        <f t="shared" si="1"/>
        <v>W</v>
      </c>
      <c r="L6" s="19" t="str">
        <f t="shared" si="1"/>
        <v>T</v>
      </c>
      <c r="M6" s="19" t="str">
        <f t="shared" si="1"/>
        <v>F</v>
      </c>
      <c r="N6" s="19" t="str">
        <f t="shared" si="1"/>
        <v>S</v>
      </c>
      <c r="O6" s="19" t="str">
        <f t="shared" si="1"/>
        <v>S</v>
      </c>
      <c r="P6" s="19" t="str">
        <f t="shared" si="1"/>
        <v>M</v>
      </c>
      <c r="Q6" s="19" t="str">
        <f t="shared" si="1"/>
        <v>T</v>
      </c>
      <c r="R6" s="19" t="str">
        <f t="shared" si="1"/>
        <v>W</v>
      </c>
      <c r="S6" s="19" t="str">
        <f t="shared" si="1"/>
        <v>T</v>
      </c>
      <c r="T6" s="19" t="str">
        <f t="shared" si="1"/>
        <v>F</v>
      </c>
      <c r="U6" s="19" t="str">
        <f t="shared" si="1"/>
        <v>S</v>
      </c>
      <c r="V6" s="19" t="str">
        <f t="shared" si="1"/>
        <v>S</v>
      </c>
      <c r="W6" s="19" t="str">
        <f t="shared" si="1"/>
        <v>M</v>
      </c>
      <c r="X6" s="19" t="str">
        <f t="shared" si="1"/>
        <v>T</v>
      </c>
      <c r="Y6" s="19" t="str">
        <f t="shared" si="1"/>
        <v>W</v>
      </c>
      <c r="Z6" s="19" t="str">
        <f t="shared" si="1"/>
        <v>T</v>
      </c>
      <c r="AA6" s="19" t="str">
        <f t="shared" si="1"/>
        <v>F</v>
      </c>
      <c r="AB6" s="19" t="str">
        <f t="shared" si="1"/>
        <v>S</v>
      </c>
      <c r="AC6" s="19" t="str">
        <f t="shared" si="1"/>
        <v>S</v>
      </c>
      <c r="AD6" s="19" t="str">
        <f t="shared" si="1"/>
        <v>M</v>
      </c>
      <c r="AE6" s="19" t="str">
        <f t="shared" si="1"/>
        <v>T</v>
      </c>
      <c r="AF6" s="19" t="str">
        <f t="shared" si="1"/>
        <v>W</v>
      </c>
      <c r="AG6" s="19" t="str">
        <f t="shared" si="1"/>
        <v>T</v>
      </c>
      <c r="AH6" s="19" t="str">
        <f t="shared" si="1"/>
        <v>F</v>
      </c>
      <c r="AI6" s="19" t="str">
        <f t="shared" si="1"/>
        <v>S</v>
      </c>
      <c r="AJ6" s="19" t="str">
        <f t="shared" si="1"/>
        <v>S</v>
      </c>
      <c r="AL6" s="71"/>
      <c r="AT6" s="71"/>
    </row>
    <row r="7" spans="1:46" s="12" customFormat="1" ht="30" hidden="1" customHeight="1" thickBot="1" x14ac:dyDescent="0.25">
      <c r="A7" s="4" t="s">
        <v>8</v>
      </c>
      <c r="B7" s="20"/>
      <c r="C7" s="21"/>
      <c r="D7" s="20"/>
      <c r="E7" s="20"/>
      <c r="F7" s="20"/>
      <c r="H7" s="12" t="str">
        <f>IF(OR(ISBLANK(task_start),ISBLANK(task_end)),"",task_end-task_start+1)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L7" s="71"/>
      <c r="AN7" s="71"/>
      <c r="AP7" s="71"/>
      <c r="AR7" s="71"/>
      <c r="AT7" s="71"/>
    </row>
    <row r="8" spans="1:46" s="29" customFormat="1" ht="30" customHeight="1" thickBot="1" x14ac:dyDescent="0.25">
      <c r="A8" s="5"/>
      <c r="B8" s="23" t="s">
        <v>9</v>
      </c>
      <c r="C8" s="24"/>
      <c r="D8" s="25"/>
      <c r="E8" s="26"/>
      <c r="F8" s="27"/>
      <c r="G8" s="6"/>
      <c r="H8" s="3" t="str">
        <f t="shared" ref="H8:H33" si="2">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L8" s="107" t="s">
        <v>53</v>
      </c>
      <c r="AM8" s="107"/>
      <c r="AN8" s="107" t="s">
        <v>52</v>
      </c>
      <c r="AO8" s="107"/>
      <c r="AP8" s="107" t="s">
        <v>51</v>
      </c>
      <c r="AQ8" s="107"/>
      <c r="AR8" s="107" t="s">
        <v>50</v>
      </c>
      <c r="AS8" s="107"/>
      <c r="AT8" s="72"/>
    </row>
    <row r="9" spans="1:46" s="29" customFormat="1" ht="30" customHeight="1" thickBot="1" x14ac:dyDescent="0.25">
      <c r="A9" s="5"/>
      <c r="B9" s="30" t="s">
        <v>21</v>
      </c>
      <c r="C9" s="31" t="s">
        <v>45</v>
      </c>
      <c r="D9" s="32">
        <v>1</v>
      </c>
      <c r="E9" s="33">
        <v>46066</v>
      </c>
      <c r="F9" s="33">
        <f>E9+3</f>
        <v>46069</v>
      </c>
      <c r="G9" s="6"/>
      <c r="H9" s="3">
        <f t="shared" si="2"/>
        <v>4</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L9" s="72"/>
      <c r="AN9" s="72"/>
      <c r="AP9" s="72"/>
      <c r="AR9" s="72"/>
      <c r="AT9" s="72"/>
    </row>
    <row r="10" spans="1:46" s="29" customFormat="1" ht="30" customHeight="1" thickBot="1" x14ac:dyDescent="0.25">
      <c r="A10" s="5"/>
      <c r="B10" s="35" t="s">
        <v>22</v>
      </c>
      <c r="C10" s="36" t="s">
        <v>46</v>
      </c>
      <c r="D10" s="37">
        <v>1</v>
      </c>
      <c r="E10" s="38">
        <v>46069</v>
      </c>
      <c r="F10" s="38">
        <v>46077</v>
      </c>
      <c r="G10" s="6"/>
      <c r="H10" s="3">
        <f t="shared" si="2"/>
        <v>9</v>
      </c>
      <c r="I10" s="34"/>
      <c r="J10" s="34"/>
      <c r="K10" s="34"/>
      <c r="L10" s="34"/>
      <c r="M10" s="34"/>
      <c r="N10" s="34"/>
      <c r="O10" s="34"/>
      <c r="P10" s="34"/>
      <c r="Q10" s="34"/>
      <c r="R10" s="34"/>
      <c r="S10" s="34"/>
      <c r="T10" s="34"/>
      <c r="U10" s="39"/>
      <c r="V10" s="39"/>
      <c r="W10" s="34"/>
      <c r="X10" s="34"/>
      <c r="Y10" s="34"/>
      <c r="Z10" s="34"/>
      <c r="AA10" s="34"/>
      <c r="AB10" s="34"/>
      <c r="AC10" s="34"/>
      <c r="AD10" s="34"/>
      <c r="AE10" s="34"/>
      <c r="AF10" s="34"/>
      <c r="AG10" s="34"/>
      <c r="AH10" s="34"/>
      <c r="AI10" s="34"/>
      <c r="AJ10" s="34"/>
      <c r="AL10" s="72"/>
      <c r="AN10" s="72"/>
      <c r="AP10" s="72"/>
      <c r="AR10" s="72"/>
      <c r="AT10" s="72"/>
    </row>
    <row r="11" spans="1:46" s="29" customFormat="1" ht="30" customHeight="1" thickBot="1" x14ac:dyDescent="0.25">
      <c r="A11" s="4"/>
      <c r="B11" s="35" t="s">
        <v>39</v>
      </c>
      <c r="C11" s="36" t="s">
        <v>20</v>
      </c>
      <c r="D11" s="37">
        <v>1</v>
      </c>
      <c r="E11" s="38">
        <v>46073</v>
      </c>
      <c r="F11" s="38">
        <v>46077</v>
      </c>
      <c r="G11" s="6"/>
      <c r="H11" s="3">
        <f t="shared" si="2"/>
        <v>5</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L11" s="72"/>
      <c r="AN11" s="72"/>
      <c r="AP11" s="72"/>
      <c r="AR11" s="72"/>
      <c r="AT11" s="72"/>
    </row>
    <row r="12" spans="1:46" s="29" customFormat="1" ht="30" customHeight="1" thickBot="1" x14ac:dyDescent="0.25">
      <c r="A12" s="4"/>
      <c r="B12" s="35" t="s">
        <v>40</v>
      </c>
      <c r="C12" s="36" t="s">
        <v>45</v>
      </c>
      <c r="D12" s="37">
        <v>1</v>
      </c>
      <c r="E12" s="38">
        <v>46077</v>
      </c>
      <c r="F12" s="38">
        <v>46077</v>
      </c>
      <c r="G12" s="6"/>
      <c r="H12" s="3">
        <f t="shared" si="2"/>
        <v>1</v>
      </c>
      <c r="I12" s="34"/>
      <c r="J12" s="34"/>
      <c r="K12" s="34"/>
      <c r="L12" s="34"/>
      <c r="M12" s="34"/>
      <c r="N12" s="34"/>
      <c r="O12" s="34"/>
      <c r="P12" s="34"/>
      <c r="Q12" s="34"/>
      <c r="R12" s="34"/>
      <c r="S12" s="34"/>
      <c r="T12" s="34"/>
      <c r="U12" s="34"/>
      <c r="V12" s="34"/>
      <c r="W12" s="34"/>
      <c r="X12" s="34"/>
      <c r="Y12" s="39"/>
      <c r="Z12" s="34"/>
      <c r="AA12" s="34"/>
      <c r="AB12" s="34"/>
      <c r="AC12" s="34"/>
      <c r="AD12" s="34"/>
      <c r="AE12" s="34"/>
      <c r="AF12" s="34"/>
      <c r="AG12" s="34"/>
      <c r="AH12" s="34"/>
      <c r="AI12" s="34"/>
      <c r="AJ12" s="34"/>
      <c r="AL12" s="72"/>
      <c r="AN12" s="72"/>
      <c r="AP12" s="72"/>
      <c r="AR12" s="72"/>
      <c r="AT12" s="72"/>
    </row>
    <row r="13" spans="1:46" s="29" customFormat="1" ht="30" customHeight="1" thickBot="1" x14ac:dyDescent="0.25">
      <c r="A13" s="4"/>
      <c r="B13" s="35" t="s">
        <v>23</v>
      </c>
      <c r="C13" s="36" t="s">
        <v>45</v>
      </c>
      <c r="D13" s="37">
        <v>1</v>
      </c>
      <c r="E13" s="38">
        <v>46077</v>
      </c>
      <c r="F13" s="38">
        <v>46077</v>
      </c>
      <c r="G13" s="6"/>
      <c r="H13" s="3">
        <f t="shared" si="2"/>
        <v>1</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L13" s="78"/>
      <c r="AM13" s="80"/>
      <c r="AN13" s="78"/>
      <c r="AP13" s="72"/>
      <c r="AR13" s="78"/>
      <c r="AS13" s="79"/>
      <c r="AT13" s="72"/>
    </row>
    <row r="14" spans="1:46" s="29" customFormat="1" ht="30" customHeight="1" thickBot="1" x14ac:dyDescent="0.25">
      <c r="A14" s="5"/>
      <c r="B14" s="40" t="s">
        <v>10</v>
      </c>
      <c r="C14" s="41"/>
      <c r="D14" s="42"/>
      <c r="E14" s="43"/>
      <c r="F14" s="44"/>
      <c r="G14" s="6"/>
      <c r="H14" s="3" t="str">
        <f t="shared" si="2"/>
        <v/>
      </c>
      <c r="AL14" s="78"/>
      <c r="AM14" s="82"/>
      <c r="AN14" s="82"/>
      <c r="AO14" s="82"/>
      <c r="AP14" s="81"/>
      <c r="AQ14" s="82"/>
      <c r="AR14" s="82"/>
      <c r="AS14" s="79"/>
      <c r="AT14" s="72"/>
    </row>
    <row r="15" spans="1:46" s="29" customFormat="1" ht="30" customHeight="1" thickBot="1" x14ac:dyDescent="0.25">
      <c r="A15" s="5"/>
      <c r="B15" s="45" t="s">
        <v>17</v>
      </c>
      <c r="C15" s="46" t="s">
        <v>20</v>
      </c>
      <c r="D15" s="47">
        <v>1</v>
      </c>
      <c r="E15" s="48">
        <v>46059</v>
      </c>
      <c r="F15" s="48">
        <v>46059</v>
      </c>
      <c r="G15" s="6"/>
      <c r="H15" s="3">
        <f t="shared" si="2"/>
        <v>1</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L15" s="72"/>
      <c r="AN15" s="72"/>
      <c r="AP15" s="83"/>
      <c r="AR15" s="72"/>
      <c r="AT15" s="72"/>
    </row>
    <row r="16" spans="1:46" s="29" customFormat="1" ht="30" customHeight="1" thickBot="1" x14ac:dyDescent="0.25">
      <c r="A16" s="4"/>
      <c r="B16" s="45" t="s">
        <v>25</v>
      </c>
      <c r="C16" s="46" t="s">
        <v>45</v>
      </c>
      <c r="D16" s="47">
        <v>1</v>
      </c>
      <c r="E16" s="48">
        <v>46066</v>
      </c>
      <c r="F16" s="48">
        <v>46071</v>
      </c>
      <c r="G16" s="6"/>
      <c r="H16" s="3">
        <f t="shared" si="2"/>
        <v>6</v>
      </c>
      <c r="I16" s="34"/>
      <c r="J16" s="34"/>
      <c r="K16" s="34"/>
      <c r="L16" s="34"/>
      <c r="M16" s="34"/>
      <c r="N16" s="34"/>
      <c r="O16" s="34"/>
      <c r="P16" s="34"/>
      <c r="Q16" s="34"/>
      <c r="R16" s="34"/>
      <c r="S16" s="34"/>
      <c r="T16" s="34"/>
      <c r="U16" s="39"/>
      <c r="V16" s="39"/>
      <c r="W16" s="34"/>
      <c r="X16" s="34"/>
      <c r="Y16" s="34"/>
      <c r="Z16" s="34"/>
      <c r="AA16" s="34"/>
      <c r="AB16" s="34"/>
      <c r="AC16" s="34"/>
      <c r="AD16" s="34"/>
      <c r="AE16" s="34"/>
      <c r="AF16" s="34"/>
      <c r="AG16" s="34"/>
      <c r="AH16" s="34"/>
      <c r="AI16" s="34"/>
      <c r="AJ16" s="34"/>
      <c r="AL16" s="72"/>
      <c r="AN16" s="72"/>
      <c r="AP16" s="72"/>
      <c r="AR16" s="72"/>
      <c r="AT16" s="72"/>
    </row>
    <row r="17" spans="1:46" s="29" customFormat="1" ht="30" customHeight="1" thickBot="1" x14ac:dyDescent="0.25">
      <c r="A17" s="4"/>
      <c r="B17" s="45" t="s">
        <v>41</v>
      </c>
      <c r="C17" s="46" t="s">
        <v>43</v>
      </c>
      <c r="D17" s="47">
        <v>1</v>
      </c>
      <c r="E17" s="48">
        <v>46066</v>
      </c>
      <c r="F17" s="48">
        <v>46073</v>
      </c>
      <c r="G17" s="6"/>
      <c r="H17" s="3"/>
      <c r="I17" s="34"/>
      <c r="J17" s="34"/>
      <c r="K17" s="34"/>
      <c r="L17" s="34"/>
      <c r="M17" s="34"/>
      <c r="N17" s="34"/>
      <c r="O17" s="34"/>
      <c r="P17" s="34"/>
      <c r="Q17" s="34"/>
      <c r="R17" s="34"/>
      <c r="S17" s="34"/>
      <c r="T17" s="34"/>
      <c r="U17" s="39"/>
      <c r="V17" s="39"/>
      <c r="W17" s="34"/>
      <c r="X17" s="34"/>
      <c r="Y17" s="34"/>
      <c r="Z17" s="34"/>
      <c r="AA17" s="34"/>
      <c r="AB17" s="34"/>
      <c r="AC17" s="34"/>
      <c r="AD17" s="34"/>
      <c r="AE17" s="34"/>
      <c r="AF17" s="34"/>
      <c r="AG17" s="34"/>
      <c r="AH17" s="34"/>
      <c r="AI17" s="34"/>
      <c r="AJ17" s="34"/>
      <c r="AL17" s="72"/>
      <c r="AN17" s="72"/>
      <c r="AP17" s="72"/>
      <c r="AR17" s="72"/>
      <c r="AT17" s="72"/>
    </row>
    <row r="18" spans="1:46" s="29" customFormat="1" ht="30" customHeight="1" thickBot="1" x14ac:dyDescent="0.25">
      <c r="A18" s="4"/>
      <c r="B18" s="45" t="s">
        <v>42</v>
      </c>
      <c r="C18" s="46" t="s">
        <v>44</v>
      </c>
      <c r="D18" s="47">
        <v>1</v>
      </c>
      <c r="E18" s="48">
        <v>46069</v>
      </c>
      <c r="F18" s="48">
        <v>46073</v>
      </c>
      <c r="G18" s="6"/>
      <c r="H18" s="3">
        <f t="shared" si="2"/>
        <v>5</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L18" s="72"/>
      <c r="AN18" s="72"/>
      <c r="AP18" s="72"/>
      <c r="AR18" s="72"/>
      <c r="AT18" s="72"/>
    </row>
    <row r="19" spans="1:46" s="29" customFormat="1" ht="30" customHeight="1" thickBot="1" x14ac:dyDescent="0.25">
      <c r="A19" s="4"/>
      <c r="B19" s="45" t="s">
        <v>24</v>
      </c>
      <c r="C19" s="46" t="s">
        <v>20</v>
      </c>
      <c r="D19" s="47">
        <v>1</v>
      </c>
      <c r="E19" s="48">
        <v>46069</v>
      </c>
      <c r="F19" s="48">
        <v>46073</v>
      </c>
      <c r="G19" s="6"/>
      <c r="H19" s="3">
        <f t="shared" si="2"/>
        <v>5</v>
      </c>
      <c r="I19" s="34"/>
      <c r="J19" s="34"/>
      <c r="K19" s="34"/>
      <c r="L19" s="34"/>
      <c r="M19" s="34"/>
      <c r="N19" s="34"/>
      <c r="O19" s="34"/>
      <c r="P19" s="34"/>
      <c r="Q19" s="34"/>
      <c r="R19" s="34"/>
      <c r="S19" s="34"/>
      <c r="T19" s="34"/>
      <c r="U19" s="34"/>
      <c r="V19" s="34"/>
      <c r="W19" s="34"/>
      <c r="X19" s="34"/>
      <c r="Y19" s="39"/>
      <c r="Z19" s="34"/>
      <c r="AA19" s="34"/>
      <c r="AB19" s="34"/>
      <c r="AC19" s="34"/>
      <c r="AD19" s="34"/>
      <c r="AE19" s="34"/>
      <c r="AF19" s="34"/>
      <c r="AG19" s="34"/>
      <c r="AH19" s="34"/>
      <c r="AI19" s="34"/>
      <c r="AJ19" s="34"/>
      <c r="AL19" s="72"/>
      <c r="AN19" s="72"/>
      <c r="AP19" s="72"/>
      <c r="AR19" s="72"/>
      <c r="AT19" s="72"/>
    </row>
    <row r="20" spans="1:46" s="29" customFormat="1" ht="30" customHeight="1" thickBot="1" x14ac:dyDescent="0.25">
      <c r="A20" s="4"/>
      <c r="B20" s="45" t="s">
        <v>26</v>
      </c>
      <c r="C20" s="46" t="s">
        <v>45</v>
      </c>
      <c r="D20" s="47">
        <v>1</v>
      </c>
      <c r="E20" s="48">
        <v>46073</v>
      </c>
      <c r="F20" s="48">
        <v>46073</v>
      </c>
      <c r="G20" s="6"/>
      <c r="H20" s="3">
        <f t="shared" si="2"/>
        <v>1</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L20" s="78"/>
      <c r="AM20" s="79"/>
      <c r="AN20" s="78"/>
      <c r="AO20" s="79"/>
      <c r="AP20" s="78"/>
      <c r="AQ20" s="79"/>
      <c r="AR20" s="78"/>
      <c r="AS20" s="79"/>
      <c r="AT20" s="72"/>
    </row>
    <row r="21" spans="1:46" s="29" customFormat="1" ht="30" customHeight="1" thickBot="1" x14ac:dyDescent="0.25">
      <c r="A21" s="4"/>
      <c r="B21" s="49" t="s">
        <v>11</v>
      </c>
      <c r="C21" s="50"/>
      <c r="D21" s="51"/>
      <c r="E21" s="52"/>
      <c r="F21" s="53"/>
      <c r="G21" s="6"/>
      <c r="H21" s="3" t="str">
        <f t="shared" si="2"/>
        <v/>
      </c>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L21" s="78"/>
      <c r="AM21" s="82"/>
      <c r="AN21" s="82"/>
      <c r="AO21" s="82"/>
      <c r="AP21" s="82"/>
      <c r="AQ21" s="82"/>
      <c r="AR21" s="82"/>
      <c r="AS21" s="79"/>
      <c r="AT21" s="72"/>
    </row>
    <row r="22" spans="1:46" s="29" customFormat="1" ht="30" customHeight="1" thickBot="1" x14ac:dyDescent="0.25">
      <c r="A22" s="4"/>
      <c r="B22" s="55" t="s">
        <v>17</v>
      </c>
      <c r="C22" s="56" t="s">
        <v>20</v>
      </c>
      <c r="D22" s="57">
        <v>1</v>
      </c>
      <c r="E22" s="58">
        <v>46059</v>
      </c>
      <c r="F22" s="58">
        <v>46062</v>
      </c>
      <c r="G22" s="6"/>
      <c r="H22" s="3">
        <f t="shared" si="2"/>
        <v>4</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L22" s="72"/>
      <c r="AN22" s="72"/>
      <c r="AP22" s="72"/>
      <c r="AR22" s="72"/>
      <c r="AT22" s="72"/>
    </row>
    <row r="23" spans="1:46" s="29" customFormat="1" ht="30" customHeight="1" thickBot="1" x14ac:dyDescent="0.25">
      <c r="A23" s="4"/>
      <c r="B23" s="55" t="s">
        <v>18</v>
      </c>
      <c r="C23" s="56" t="s">
        <v>45</v>
      </c>
      <c r="D23" s="57">
        <v>1</v>
      </c>
      <c r="E23" s="58">
        <v>46063</v>
      </c>
      <c r="F23" s="58">
        <v>46064</v>
      </c>
      <c r="G23" s="6"/>
      <c r="H23" s="3">
        <f t="shared" si="2"/>
        <v>2</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L23" s="72"/>
      <c r="AN23" s="72"/>
      <c r="AP23" s="72"/>
      <c r="AR23" s="72"/>
      <c r="AT23" s="72"/>
    </row>
    <row r="24" spans="1:46" s="29" customFormat="1" ht="30" customHeight="1" thickBot="1" x14ac:dyDescent="0.25">
      <c r="A24" s="4"/>
      <c r="B24" s="55" t="s">
        <v>24</v>
      </c>
      <c r="C24" s="56" t="s">
        <v>20</v>
      </c>
      <c r="D24" s="57">
        <v>1</v>
      </c>
      <c r="E24" s="58">
        <v>46065</v>
      </c>
      <c r="F24" s="58">
        <v>46066</v>
      </c>
      <c r="G24" s="6"/>
      <c r="H24" s="3">
        <f t="shared" si="2"/>
        <v>2</v>
      </c>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L24" s="72"/>
      <c r="AN24" s="72"/>
      <c r="AP24" s="72"/>
      <c r="AR24" s="72"/>
      <c r="AT24" s="72"/>
    </row>
    <row r="25" spans="1:46" s="29" customFormat="1" ht="30" customHeight="1" thickBot="1" x14ac:dyDescent="0.25">
      <c r="A25" s="4"/>
      <c r="B25" s="55" t="s">
        <v>19</v>
      </c>
      <c r="C25" s="56" t="s">
        <v>45</v>
      </c>
      <c r="D25" s="57">
        <v>1</v>
      </c>
      <c r="E25" s="58">
        <v>46065</v>
      </c>
      <c r="F25" s="58">
        <v>46066</v>
      </c>
      <c r="G25" s="6"/>
      <c r="H25" s="3">
        <f t="shared" si="2"/>
        <v>2</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L25" s="72"/>
      <c r="AN25" s="72"/>
      <c r="AP25" s="72"/>
      <c r="AR25" s="72"/>
      <c r="AT25" s="72"/>
    </row>
    <row r="26" spans="1:46" s="29" customFormat="1" ht="30" customHeight="1" thickBot="1" x14ac:dyDescent="0.25">
      <c r="A26" s="4"/>
      <c r="B26" s="59" t="s">
        <v>12</v>
      </c>
      <c r="C26" s="60"/>
      <c r="D26" s="61"/>
      <c r="E26" s="62"/>
      <c r="F26" s="63"/>
      <c r="G26" s="6"/>
      <c r="H26" s="3" t="str">
        <f t="shared" si="2"/>
        <v/>
      </c>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L26" s="87"/>
      <c r="AM26" s="82"/>
      <c r="AN26" s="82"/>
      <c r="AO26" s="82"/>
      <c r="AP26" s="82"/>
      <c r="AQ26" s="82"/>
      <c r="AR26" s="82"/>
      <c r="AS26" s="88"/>
      <c r="AT26" s="72"/>
    </row>
    <row r="27" spans="1:46" s="29" customFormat="1" ht="30" customHeight="1" thickBot="1" x14ac:dyDescent="0.25">
      <c r="A27" s="4"/>
      <c r="B27" s="65" t="s">
        <v>33</v>
      </c>
      <c r="C27" s="66" t="s">
        <v>45</v>
      </c>
      <c r="D27" s="67">
        <v>1</v>
      </c>
      <c r="E27" s="68">
        <v>46063</v>
      </c>
      <c r="F27" s="68">
        <f>E27+3</f>
        <v>46066</v>
      </c>
      <c r="G27" s="6"/>
      <c r="H27" s="3">
        <f t="shared" si="2"/>
        <v>4</v>
      </c>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L27" s="72"/>
      <c r="AN27" s="72"/>
      <c r="AP27" s="72"/>
      <c r="AR27" s="72"/>
      <c r="AT27" s="72"/>
    </row>
    <row r="28" spans="1:46" s="29" customFormat="1" ht="30" customHeight="1" thickBot="1" x14ac:dyDescent="0.25">
      <c r="A28" s="4"/>
      <c r="B28" s="65" t="s">
        <v>35</v>
      </c>
      <c r="C28" s="66" t="s">
        <v>46</v>
      </c>
      <c r="D28" s="67">
        <v>1</v>
      </c>
      <c r="E28" s="68">
        <f>F27</f>
        <v>46066</v>
      </c>
      <c r="F28" s="68">
        <f>E28+3</f>
        <v>46069</v>
      </c>
      <c r="G28" s="6"/>
      <c r="H28" s="3">
        <f t="shared" si="2"/>
        <v>4</v>
      </c>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L28" s="72"/>
      <c r="AN28" s="72"/>
      <c r="AP28" s="72"/>
      <c r="AR28" s="72"/>
      <c r="AT28" s="72"/>
    </row>
    <row r="29" spans="1:46" s="29" customFormat="1" ht="30" customHeight="1" thickBot="1" x14ac:dyDescent="0.25">
      <c r="A29" s="4"/>
      <c r="B29" s="65" t="s">
        <v>34</v>
      </c>
      <c r="C29" s="66" t="s">
        <v>47</v>
      </c>
      <c r="D29" s="67">
        <v>1</v>
      </c>
      <c r="E29" s="68">
        <f>F28</f>
        <v>46069</v>
      </c>
      <c r="F29" s="68">
        <f>E29+3</f>
        <v>46072</v>
      </c>
      <c r="G29" s="6"/>
      <c r="H29" s="3">
        <f t="shared" si="2"/>
        <v>4</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L29" s="72"/>
      <c r="AN29" s="72"/>
      <c r="AP29" s="72"/>
      <c r="AR29" s="72"/>
      <c r="AT29" s="72"/>
    </row>
    <row r="30" spans="1:46" s="29" customFormat="1" ht="30" customHeight="1" thickBot="1" x14ac:dyDescent="0.25">
      <c r="A30" s="4"/>
      <c r="B30" s="65" t="s">
        <v>36</v>
      </c>
      <c r="C30" s="66" t="s">
        <v>48</v>
      </c>
      <c r="D30" s="67">
        <v>1</v>
      </c>
      <c r="E30" s="68">
        <f>F29</f>
        <v>46072</v>
      </c>
      <c r="F30" s="68">
        <f>E30+3</f>
        <v>46075</v>
      </c>
      <c r="G30" s="6"/>
      <c r="H30" s="3">
        <f t="shared" si="2"/>
        <v>4</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L30" s="72"/>
      <c r="AN30" s="72"/>
      <c r="AP30" s="72"/>
      <c r="AR30" s="72"/>
      <c r="AT30" s="72"/>
    </row>
    <row r="31" spans="1:46" s="29" customFormat="1" ht="30" customHeight="1" thickBot="1" x14ac:dyDescent="0.25">
      <c r="A31" s="4"/>
      <c r="B31" s="65" t="s">
        <v>37</v>
      </c>
      <c r="C31" s="66" t="s">
        <v>20</v>
      </c>
      <c r="D31" s="67">
        <v>1</v>
      </c>
      <c r="E31" s="68">
        <v>46075</v>
      </c>
      <c r="F31" s="68">
        <v>46077</v>
      </c>
      <c r="G31" s="6"/>
      <c r="H31" s="3">
        <f t="shared" si="2"/>
        <v>3</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L31" s="78"/>
      <c r="AM31" s="79"/>
      <c r="AN31" s="78"/>
      <c r="AO31" s="79"/>
      <c r="AP31" s="78"/>
      <c r="AQ31" s="79"/>
      <c r="AR31" s="78"/>
      <c r="AS31" s="79"/>
      <c r="AT31" s="72"/>
    </row>
    <row r="32" spans="1:46" s="29" customFormat="1" ht="30" customHeight="1" thickBot="1" x14ac:dyDescent="0.25">
      <c r="A32" s="4"/>
      <c r="B32" s="23" t="s">
        <v>13</v>
      </c>
      <c r="C32" s="24"/>
      <c r="D32" s="25"/>
      <c r="E32" s="26"/>
      <c r="F32" s="27"/>
      <c r="G32" s="6"/>
      <c r="H32" s="3" t="str">
        <f t="shared" si="2"/>
        <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L32" s="78"/>
      <c r="AM32" s="82"/>
      <c r="AN32" s="82"/>
      <c r="AO32" s="82"/>
      <c r="AP32" s="82"/>
      <c r="AQ32" s="82"/>
      <c r="AR32" s="82"/>
      <c r="AS32" s="79"/>
      <c r="AT32" s="72"/>
    </row>
    <row r="33" spans="1:46" s="29" customFormat="1" ht="30" customHeight="1" thickBot="1" x14ac:dyDescent="0.25">
      <c r="A33" s="5"/>
      <c r="B33" s="30" t="s">
        <v>27</v>
      </c>
      <c r="C33" s="31" t="s">
        <v>48</v>
      </c>
      <c r="D33" s="32">
        <v>1</v>
      </c>
      <c r="E33" s="33">
        <v>46059</v>
      </c>
      <c r="F33" s="33">
        <f>E33+7</f>
        <v>46066</v>
      </c>
      <c r="G33" s="6"/>
      <c r="H33" s="3">
        <f t="shared" si="2"/>
        <v>8</v>
      </c>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L33" s="72"/>
      <c r="AN33" s="72"/>
      <c r="AP33" s="72"/>
      <c r="AR33" s="72"/>
      <c r="AT33" s="72"/>
    </row>
    <row r="34" spans="1:46" ht="30" customHeight="1" thickBot="1" x14ac:dyDescent="0.25">
      <c r="B34" s="35" t="s">
        <v>28</v>
      </c>
      <c r="C34" s="36" t="s">
        <v>46</v>
      </c>
      <c r="D34" s="37">
        <v>1</v>
      </c>
      <c r="E34" s="38">
        <f>F33</f>
        <v>46066</v>
      </c>
      <c r="F34" s="38">
        <f>E34+7</f>
        <v>46073</v>
      </c>
      <c r="G34" s="6"/>
      <c r="H34" s="3"/>
      <c r="I34" s="34"/>
      <c r="J34" s="34"/>
      <c r="K34" s="34"/>
      <c r="L34" s="34"/>
      <c r="M34" s="34"/>
      <c r="N34" s="34"/>
      <c r="O34" s="34"/>
      <c r="P34" s="34"/>
      <c r="Q34" s="34"/>
      <c r="R34" s="34"/>
      <c r="S34" s="34"/>
      <c r="T34" s="34"/>
      <c r="U34" s="39"/>
      <c r="V34" s="39"/>
      <c r="W34" s="34"/>
      <c r="X34" s="34"/>
      <c r="Y34" s="34"/>
      <c r="Z34" s="34"/>
      <c r="AA34" s="34"/>
      <c r="AB34" s="34"/>
      <c r="AC34" s="34"/>
      <c r="AD34" s="34"/>
      <c r="AE34" s="34"/>
      <c r="AF34" s="34"/>
      <c r="AG34" s="34"/>
      <c r="AH34" s="34"/>
      <c r="AI34" s="34"/>
      <c r="AJ34" s="34"/>
      <c r="AL34" s="70"/>
      <c r="AN34" s="70"/>
      <c r="AP34" s="70"/>
      <c r="AR34" s="70"/>
      <c r="AT34" s="70"/>
    </row>
    <row r="35" spans="1:46" ht="30" customHeight="1" thickBot="1" x14ac:dyDescent="0.25">
      <c r="B35" s="35" t="s">
        <v>29</v>
      </c>
      <c r="C35" s="36" t="s">
        <v>47</v>
      </c>
      <c r="D35" s="37">
        <v>1</v>
      </c>
      <c r="E35" s="38">
        <v>46073</v>
      </c>
      <c r="F35" s="38">
        <v>46077</v>
      </c>
      <c r="G35" s="6"/>
      <c r="H35" s="3"/>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L35" s="70"/>
      <c r="AN35" s="70"/>
      <c r="AP35" s="70"/>
      <c r="AR35" s="70"/>
      <c r="AT35" s="70"/>
    </row>
    <row r="36" spans="1:46" ht="30" customHeight="1" thickBot="1" x14ac:dyDescent="0.25">
      <c r="B36" s="35" t="s">
        <v>30</v>
      </c>
      <c r="C36" s="36" t="s">
        <v>45</v>
      </c>
      <c r="D36" s="37">
        <v>1</v>
      </c>
      <c r="E36" s="38">
        <v>46073</v>
      </c>
      <c r="F36" s="38">
        <v>46077</v>
      </c>
      <c r="G36" s="6"/>
      <c r="H36" s="3"/>
      <c r="I36" s="34"/>
      <c r="J36" s="34"/>
      <c r="K36" s="34"/>
      <c r="L36" s="34"/>
      <c r="M36" s="34"/>
      <c r="N36" s="34"/>
      <c r="O36" s="34"/>
      <c r="P36" s="34"/>
      <c r="Q36" s="34"/>
      <c r="R36" s="34"/>
      <c r="S36" s="34"/>
      <c r="T36" s="34"/>
      <c r="U36" s="34"/>
      <c r="V36" s="34"/>
      <c r="W36" s="34"/>
      <c r="X36" s="34"/>
      <c r="Y36" s="39"/>
      <c r="Z36" s="34"/>
      <c r="AA36" s="34"/>
      <c r="AB36" s="34"/>
      <c r="AC36" s="34"/>
      <c r="AD36" s="34"/>
      <c r="AE36" s="34"/>
      <c r="AF36" s="34"/>
      <c r="AG36" s="34"/>
      <c r="AH36" s="34"/>
      <c r="AI36" s="34"/>
      <c r="AJ36" s="34"/>
      <c r="AL36" s="70"/>
      <c r="AN36" s="70"/>
      <c r="AP36" s="70"/>
      <c r="AR36" s="70"/>
      <c r="AT36" s="70"/>
    </row>
    <row r="37" spans="1:46" ht="30" customHeight="1" thickBot="1" x14ac:dyDescent="0.25">
      <c r="B37" s="35" t="s">
        <v>31</v>
      </c>
      <c r="C37" s="36" t="s">
        <v>20</v>
      </c>
      <c r="D37" s="37">
        <v>1</v>
      </c>
      <c r="E37" s="38">
        <v>46074</v>
      </c>
      <c r="F37" s="38">
        <v>46077</v>
      </c>
      <c r="G37" s="6"/>
      <c r="H37" s="3"/>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L37" s="73"/>
      <c r="AM37" s="74"/>
      <c r="AN37" s="73"/>
      <c r="AO37" s="74"/>
      <c r="AP37" s="73"/>
      <c r="AQ37" s="74"/>
      <c r="AR37" s="73"/>
      <c r="AS37" s="75"/>
      <c r="AT37" s="70"/>
    </row>
    <row r="38" spans="1:46" ht="30" customHeight="1" thickBot="1" x14ac:dyDescent="0.25">
      <c r="B38" s="40" t="s">
        <v>14</v>
      </c>
      <c r="C38" s="41"/>
      <c r="D38" s="42"/>
      <c r="E38" s="43"/>
      <c r="F38" s="44"/>
      <c r="G38" s="6"/>
      <c r="H38" s="3" t="str">
        <f t="shared" ref="H38:H39" si="3">IF(OR(ISBLANK(task_start),ISBLANK(task_end)),"",task_end-task_start+1)</f>
        <v/>
      </c>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84"/>
      <c r="AL38" s="73"/>
      <c r="AM38" s="74"/>
      <c r="AN38" s="74"/>
      <c r="AO38" s="74"/>
      <c r="AP38" s="74"/>
      <c r="AQ38" s="74"/>
      <c r="AR38" s="74"/>
      <c r="AS38" s="74"/>
      <c r="AT38" s="70"/>
    </row>
    <row r="39" spans="1:46" ht="30" customHeight="1" thickBot="1" x14ac:dyDescent="0.25">
      <c r="B39" s="45" t="s">
        <v>27</v>
      </c>
      <c r="C39" s="46" t="s">
        <v>48</v>
      </c>
      <c r="D39" s="47">
        <v>1</v>
      </c>
      <c r="E39" s="48">
        <v>46062</v>
      </c>
      <c r="F39" s="48">
        <f>F33</f>
        <v>46066</v>
      </c>
      <c r="G39" s="6"/>
      <c r="H39" s="3">
        <f t="shared" si="3"/>
        <v>5</v>
      </c>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29"/>
      <c r="AL39" s="70"/>
      <c r="AN39" s="70"/>
      <c r="AP39" s="70"/>
      <c r="AR39" s="70"/>
      <c r="AT39" s="70"/>
    </row>
    <row r="40" spans="1:46" ht="30" customHeight="1" thickBot="1" x14ac:dyDescent="0.25">
      <c r="B40" s="45" t="s">
        <v>28</v>
      </c>
      <c r="C40" s="46" t="s">
        <v>46</v>
      </c>
      <c r="D40" s="47">
        <v>1</v>
      </c>
      <c r="E40" s="48">
        <f t="shared" ref="E40:F40" si="4">E34</f>
        <v>46066</v>
      </c>
      <c r="F40" s="48">
        <f t="shared" si="4"/>
        <v>46073</v>
      </c>
      <c r="G40" s="6"/>
      <c r="H40" s="3"/>
      <c r="I40" s="34"/>
      <c r="J40" s="34"/>
      <c r="K40" s="34"/>
      <c r="L40" s="34"/>
      <c r="M40" s="34"/>
      <c r="N40" s="34"/>
      <c r="O40" s="34"/>
      <c r="P40" s="34"/>
      <c r="Q40" s="34"/>
      <c r="R40" s="34"/>
      <c r="S40" s="34"/>
      <c r="T40" s="34"/>
      <c r="U40" s="39"/>
      <c r="V40" s="39"/>
      <c r="W40" s="34"/>
      <c r="X40" s="34"/>
      <c r="Y40" s="34"/>
      <c r="Z40" s="34"/>
      <c r="AA40" s="34"/>
      <c r="AB40" s="34"/>
      <c r="AC40" s="34"/>
      <c r="AD40" s="34"/>
      <c r="AE40" s="34"/>
      <c r="AF40" s="34"/>
      <c r="AG40" s="34"/>
      <c r="AH40" s="34"/>
      <c r="AI40" s="34"/>
      <c r="AJ40" s="34"/>
      <c r="AL40" s="70"/>
      <c r="AN40" s="70"/>
      <c r="AP40" s="70"/>
      <c r="AR40" s="70"/>
      <c r="AT40" s="70"/>
    </row>
    <row r="41" spans="1:46" ht="30" customHeight="1" thickBot="1" x14ac:dyDescent="0.25">
      <c r="B41" s="45" t="s">
        <v>29</v>
      </c>
      <c r="C41" s="46" t="s">
        <v>47</v>
      </c>
      <c r="D41" s="47">
        <v>1</v>
      </c>
      <c r="E41" s="48">
        <f t="shared" ref="E41:F41" si="5">E35</f>
        <v>46073</v>
      </c>
      <c r="F41" s="48">
        <f t="shared" si="5"/>
        <v>46077</v>
      </c>
      <c r="G41" s="6"/>
      <c r="H41" s="3"/>
      <c r="I41" s="34"/>
      <c r="J41" s="34"/>
      <c r="K41" s="34"/>
      <c r="L41" s="34"/>
      <c r="M41" s="34"/>
      <c r="N41" s="34"/>
      <c r="O41" s="34"/>
      <c r="P41" s="34"/>
      <c r="Q41" s="34"/>
      <c r="R41" s="34"/>
      <c r="S41" s="34"/>
      <c r="T41" s="34"/>
      <c r="U41" s="39"/>
      <c r="V41" s="39"/>
      <c r="W41" s="34"/>
      <c r="X41" s="34"/>
      <c r="Y41" s="34"/>
      <c r="Z41" s="34"/>
      <c r="AA41" s="34"/>
      <c r="AB41" s="34"/>
      <c r="AC41" s="34"/>
      <c r="AD41" s="34"/>
      <c r="AE41" s="34"/>
      <c r="AF41" s="34"/>
      <c r="AG41" s="34"/>
      <c r="AH41" s="34"/>
      <c r="AI41" s="34"/>
      <c r="AJ41" s="34"/>
      <c r="AL41" s="70"/>
      <c r="AN41" s="70"/>
      <c r="AP41" s="70"/>
      <c r="AR41" s="70"/>
      <c r="AT41" s="70"/>
    </row>
    <row r="42" spans="1:46" ht="30" customHeight="1" thickBot="1" x14ac:dyDescent="0.25">
      <c r="B42" s="45" t="s">
        <v>30</v>
      </c>
      <c r="C42" s="46" t="s">
        <v>45</v>
      </c>
      <c r="D42" s="47">
        <v>1</v>
      </c>
      <c r="E42" s="48">
        <f t="shared" ref="E42:F42" si="6">E36</f>
        <v>46073</v>
      </c>
      <c r="F42" s="48">
        <f t="shared" si="6"/>
        <v>46077</v>
      </c>
      <c r="G42" s="6"/>
      <c r="H42" s="3"/>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L42" s="70"/>
      <c r="AN42" s="70"/>
      <c r="AP42" s="70"/>
      <c r="AR42" s="70"/>
      <c r="AT42" s="70"/>
    </row>
    <row r="43" spans="1:46" ht="30" customHeight="1" thickBot="1" x14ac:dyDescent="0.25">
      <c r="B43" s="45" t="s">
        <v>31</v>
      </c>
      <c r="C43" s="46" t="s">
        <v>20</v>
      </c>
      <c r="D43" s="47">
        <v>1</v>
      </c>
      <c r="E43" s="48">
        <f t="shared" ref="E43:F43" si="7">E37</f>
        <v>46074</v>
      </c>
      <c r="F43" s="48">
        <f t="shared" si="7"/>
        <v>46077</v>
      </c>
      <c r="G43" s="6"/>
      <c r="H43" s="3"/>
      <c r="I43" s="34"/>
      <c r="J43" s="34"/>
      <c r="K43" s="34"/>
      <c r="L43" s="34"/>
      <c r="M43" s="34"/>
      <c r="N43" s="34"/>
      <c r="O43" s="34"/>
      <c r="P43" s="34"/>
      <c r="Q43" s="34"/>
      <c r="R43" s="34"/>
      <c r="S43" s="34"/>
      <c r="T43" s="34"/>
      <c r="U43" s="34"/>
      <c r="V43" s="34"/>
      <c r="W43" s="34"/>
      <c r="X43" s="34"/>
      <c r="Y43" s="39"/>
      <c r="Z43" s="34"/>
      <c r="AA43" s="34"/>
      <c r="AB43" s="34"/>
      <c r="AC43" s="34"/>
      <c r="AD43" s="34"/>
      <c r="AE43" s="34"/>
      <c r="AF43" s="34"/>
      <c r="AG43" s="34"/>
      <c r="AH43" s="34"/>
      <c r="AI43" s="34"/>
      <c r="AJ43" s="34"/>
      <c r="AL43" s="73"/>
      <c r="AM43" s="74"/>
      <c r="AN43" s="73"/>
      <c r="AO43" s="74"/>
      <c r="AP43" s="73"/>
      <c r="AQ43" s="74"/>
      <c r="AR43" s="73"/>
      <c r="AS43" s="75"/>
      <c r="AT43" s="70"/>
    </row>
    <row r="44" spans="1:46" ht="30" customHeight="1" thickBot="1" x14ac:dyDescent="0.25">
      <c r="B44" s="49" t="s">
        <v>15</v>
      </c>
      <c r="C44" s="50"/>
      <c r="D44" s="51"/>
      <c r="E44" s="52"/>
      <c r="F44" s="53"/>
      <c r="G44" s="6"/>
      <c r="H44" s="3" t="str">
        <f t="shared" ref="H44:H45" si="8">IF(OR(ISBLANK(task_start),ISBLANK(task_end)),"",task_end-task_start+1)</f>
        <v/>
      </c>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29"/>
      <c r="AL44" s="73"/>
      <c r="AM44" s="85"/>
      <c r="AN44" s="85"/>
      <c r="AO44" s="85"/>
      <c r="AP44" s="85"/>
      <c r="AQ44" s="85"/>
      <c r="AR44" s="85"/>
      <c r="AS44" s="86"/>
    </row>
    <row r="45" spans="1:46" ht="30" customHeight="1" thickBot="1" x14ac:dyDescent="0.25">
      <c r="B45" s="55" t="s">
        <v>32</v>
      </c>
      <c r="C45" s="56" t="s">
        <v>45</v>
      </c>
      <c r="D45" s="57">
        <v>1</v>
      </c>
      <c r="E45" s="58">
        <f>E33+2</f>
        <v>46061</v>
      </c>
      <c r="F45" s="58">
        <f>E45+3</f>
        <v>46064</v>
      </c>
      <c r="G45" s="6"/>
      <c r="H45" s="3">
        <f t="shared" si="8"/>
        <v>4</v>
      </c>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29"/>
      <c r="AL45" s="70"/>
      <c r="AN45" s="70"/>
      <c r="AP45" s="70"/>
      <c r="AR45" s="70"/>
      <c r="AT45" s="70"/>
    </row>
    <row r="46" spans="1:46" ht="30" customHeight="1" thickBot="1" x14ac:dyDescent="0.25">
      <c r="B46" s="55" t="s">
        <v>38</v>
      </c>
      <c r="C46" s="56" t="s">
        <v>46</v>
      </c>
      <c r="D46" s="57">
        <v>1</v>
      </c>
      <c r="E46" s="58">
        <f>F45</f>
        <v>46064</v>
      </c>
      <c r="F46" s="58">
        <f>E46+8</f>
        <v>46072</v>
      </c>
      <c r="G46" s="6"/>
      <c r="H46" s="3"/>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L46" s="70"/>
      <c r="AN46" s="70"/>
      <c r="AP46" s="70"/>
      <c r="AR46" s="70"/>
      <c r="AT46" s="70"/>
    </row>
    <row r="47" spans="1:46" ht="30" customHeight="1" thickBot="1" x14ac:dyDescent="0.25">
      <c r="B47" s="55" t="s">
        <v>24</v>
      </c>
      <c r="C47" s="56" t="s">
        <v>20</v>
      </c>
      <c r="D47" s="57">
        <v>1</v>
      </c>
      <c r="E47" s="58">
        <v>46072</v>
      </c>
      <c r="F47" s="58">
        <v>46077</v>
      </c>
      <c r="G47" s="6"/>
      <c r="H47" s="3"/>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L47" s="70"/>
      <c r="AN47" s="70"/>
      <c r="AP47" s="70"/>
      <c r="AR47" s="70"/>
      <c r="AT47" s="70"/>
    </row>
    <row r="48" spans="1:46" ht="30" customHeight="1" thickBot="1" x14ac:dyDescent="0.25">
      <c r="B48" s="55" t="s">
        <v>23</v>
      </c>
      <c r="C48" s="56" t="s">
        <v>45</v>
      </c>
      <c r="D48" s="57">
        <v>1</v>
      </c>
      <c r="E48" s="58">
        <v>46073</v>
      </c>
      <c r="F48" s="58">
        <v>46077</v>
      </c>
      <c r="G48" s="6"/>
      <c r="H48" s="3"/>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L48" s="73"/>
      <c r="AM48" s="74"/>
      <c r="AN48" s="73"/>
      <c r="AO48" s="74"/>
      <c r="AP48" s="73"/>
      <c r="AQ48" s="74"/>
      <c r="AR48" s="73"/>
      <c r="AS48" s="75"/>
      <c r="AT48" s="70"/>
    </row>
  </sheetData>
  <mergeCells count="21">
    <mergeCell ref="AL1:AS1"/>
    <mergeCell ref="AN2:AQ3"/>
    <mergeCell ref="AP8:AQ8"/>
    <mergeCell ref="AN8:AO8"/>
    <mergeCell ref="AL8:AM8"/>
    <mergeCell ref="AR8:AS8"/>
    <mergeCell ref="AD4:AJ4"/>
    <mergeCell ref="F5:F6"/>
    <mergeCell ref="Q2:Z2"/>
    <mergeCell ref="Q1:Z1"/>
    <mergeCell ref="I1:O1"/>
    <mergeCell ref="I2:O2"/>
    <mergeCell ref="B2:F3"/>
    <mergeCell ref="I4:O4"/>
    <mergeCell ref="P4:V4"/>
    <mergeCell ref="W4:AC4"/>
    <mergeCell ref="A5:A6"/>
    <mergeCell ref="B5:B6"/>
    <mergeCell ref="C5:C6"/>
    <mergeCell ref="D5:D6"/>
    <mergeCell ref="E5:E6"/>
  </mergeCells>
  <conditionalFormatting sqref="D7:D48">
    <cfRule type="dataBar" priority="4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AI48">
    <cfRule type="expression" dxfId="23" priority="25">
      <formula>AND(TODAY()&gt;=I$5, TODAY()&lt;J$5)</formula>
    </cfRule>
  </conditionalFormatting>
  <conditionalFormatting sqref="I9:AI13">
    <cfRule type="expression" dxfId="22" priority="31" stopIfTrue="1">
      <formula>AND(task_end&gt;=I$5,task_start&lt;J$5)</formula>
    </cfRule>
  </conditionalFormatting>
  <conditionalFormatting sqref="I15:AI20">
    <cfRule type="expression" dxfId="21" priority="29" stopIfTrue="1">
      <formula>AND(task_end&gt;=I$5,task_start&lt;J$5)</formula>
    </cfRule>
  </conditionalFormatting>
  <conditionalFormatting sqref="I22:AI25">
    <cfRule type="expression" dxfId="20" priority="27" stopIfTrue="1">
      <formula>AND(task_end&gt;=I$5,task_start&lt;J$5)</formula>
    </cfRule>
  </conditionalFormatting>
  <conditionalFormatting sqref="I27:AI31">
    <cfRule type="expression" dxfId="19" priority="60">
      <formula>AND(task_start&lt;=I$5,ROUNDDOWN((task_end-task_start+1)*task_progress,0)+task_start-1&gt;=I$5)</formula>
    </cfRule>
    <cfRule type="expression" dxfId="18" priority="61" stopIfTrue="1">
      <formula>AND(task_end&gt;=I$5,task_start&lt;J$5)</formula>
    </cfRule>
  </conditionalFormatting>
  <conditionalFormatting sqref="I33:AI37">
    <cfRule type="expression" dxfId="17" priority="8" stopIfTrue="1">
      <formula>AND(task_end&gt;=I$5,task_start&lt;J$5)</formula>
    </cfRule>
  </conditionalFormatting>
  <conditionalFormatting sqref="I39:AI43">
    <cfRule type="expression" dxfId="16" priority="5" stopIfTrue="1">
      <formula>AND(task_end&gt;=I$5,task_start&lt;J$5)</formula>
    </cfRule>
  </conditionalFormatting>
  <conditionalFormatting sqref="I45:AI48">
    <cfRule type="expression" dxfId="15" priority="2" stopIfTrue="1">
      <formula>AND(task_end&gt;=I$5,task_start&lt;J$5)</formula>
    </cfRule>
  </conditionalFormatting>
  <conditionalFormatting sqref="I9:AJ13">
    <cfRule type="expression" dxfId="14" priority="30">
      <formula>AND(task_start&lt;=I$5,ROUNDDOWN((task_end-task_start+1)*task_progress,0)+task_start-1&gt;=I$5)</formula>
    </cfRule>
  </conditionalFormatting>
  <conditionalFormatting sqref="I15:AJ20">
    <cfRule type="expression" dxfId="13" priority="28">
      <formula>AND(task_start&lt;=I$5,ROUNDDOWN((task_end-task_start+1)*task_progress,0)+task_start-1&gt;=I$5)</formula>
    </cfRule>
  </conditionalFormatting>
  <conditionalFormatting sqref="I22:AJ25">
    <cfRule type="expression" dxfId="12" priority="26">
      <formula>AND(task_start&lt;=I$5,ROUNDDOWN((task_end-task_start+1)*task_progress,0)+task_start-1&gt;=I$5)</formula>
    </cfRule>
  </conditionalFormatting>
  <conditionalFormatting sqref="I33:AJ37">
    <cfRule type="expression" dxfId="11" priority="7">
      <formula>AND(task_start&lt;=I$5,ROUNDDOWN((task_end-task_start+1)*task_progress,0)+task_start-1&gt;=I$5)</formula>
    </cfRule>
  </conditionalFormatting>
  <conditionalFormatting sqref="I39:AJ43">
    <cfRule type="expression" dxfId="10" priority="4">
      <formula>AND(task_start&lt;=I$5,ROUNDDOWN((task_end-task_start+1)*task_progress,0)+task_start-1&gt;=I$5)</formula>
    </cfRule>
  </conditionalFormatting>
  <conditionalFormatting sqref="I45:AJ48">
    <cfRule type="expression" dxfId="9" priority="1">
      <formula>AND(task_start&lt;=I$5,ROUNDDOWN((task_end-task_start+1)*task_progress,0)+task_start-1&gt;=I$5)</formula>
    </cfRule>
  </conditionalFormatting>
  <conditionalFormatting sqref="AJ4:AJ48">
    <cfRule type="expression" dxfId="8" priority="63">
      <formula>AND(TODAY()&gt;=AJ$5, TODAY()&lt;#REF!)</formula>
    </cfRule>
  </conditionalFormatting>
  <conditionalFormatting sqref="AJ9:AJ13">
    <cfRule type="expression" dxfId="7" priority="67" stopIfTrue="1">
      <formula>AND(task_end&gt;=AJ$5,task_start&lt;#REF!)</formula>
    </cfRule>
  </conditionalFormatting>
  <conditionalFormatting sqref="AJ15:AJ20">
    <cfRule type="expression" dxfId="6" priority="71" stopIfTrue="1">
      <formula>AND(task_end&gt;=AJ$5,task_start&lt;#REF!)</formula>
    </cfRule>
  </conditionalFormatting>
  <conditionalFormatting sqref="AJ22:AJ25">
    <cfRule type="expression" dxfId="5" priority="75" stopIfTrue="1">
      <formula>AND(task_end&gt;=AJ$5,task_start&lt;#REF!)</formula>
    </cfRule>
  </conditionalFormatting>
  <conditionalFormatting sqref="AJ27:AJ31">
    <cfRule type="expression" dxfId="4" priority="78">
      <formula>AND(task_start&lt;=AJ$5,ROUNDDOWN((task_end-task_start+1)*task_progress,0)+task_start-1&gt;=AJ$5)</formula>
    </cfRule>
    <cfRule type="expression" dxfId="3" priority="79" stopIfTrue="1">
      <formula>AND(task_end&gt;=AJ$5,task_start&lt;#REF!)</formula>
    </cfRule>
  </conditionalFormatting>
  <conditionalFormatting sqref="AJ33:AJ37">
    <cfRule type="expression" dxfId="2" priority="9" stopIfTrue="1">
      <formula>AND(task_end&gt;=AJ$5,task_start&lt;#REF!)</formula>
    </cfRule>
  </conditionalFormatting>
  <conditionalFormatting sqref="AJ39:AJ43">
    <cfRule type="expression" dxfId="1" priority="6" stopIfTrue="1">
      <formula>AND(task_end&gt;=AJ$5,task_start&lt;#REF!)</formula>
    </cfRule>
  </conditionalFormatting>
  <conditionalFormatting sqref="AJ45:AJ48">
    <cfRule type="expression" dxfId="0" priority="3" stopIfTrue="1">
      <formula>AND(task_end&gt;=AJ$5,task_start&lt;#REF!)</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Jacob Oetken</cp:lastModifiedBy>
  <cp:revision/>
  <dcterms:created xsi:type="dcterms:W3CDTF">2022-03-11T22:41:12Z</dcterms:created>
  <dcterms:modified xsi:type="dcterms:W3CDTF">2026-02-24T16:39:07Z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